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defaultThemeVersion="166925"/>
  <mc:AlternateContent xmlns:mc="http://schemas.openxmlformats.org/markup-compatibility/2006">
    <mc:Choice Requires="x15">
      <x15ac:absPath xmlns:x15ac="http://schemas.microsoft.com/office/spreadsheetml/2010/11/ac" url="/Users/dmytrostetsiuk/Downloads/archive/"/>
    </mc:Choice>
  </mc:AlternateContent>
  <xr:revisionPtr revIDLastSave="0" documentId="13_ncr:1_{608931A7-2CD7-9449-BA7C-1241B7CD8A1C}" xr6:coauthVersionLast="47" xr6:coauthVersionMax="47" xr10:uidLastSave="{00000000-0000-0000-0000-000000000000}"/>
  <bookViews>
    <workbookView xWindow="0" yWindow="500" windowWidth="28800" windowHeight="16100" activeTab="4" xr2:uid="{C30C3475-DC9B-D942-A42C-4C983A30234F}"/>
  </bookViews>
  <sheets>
    <sheet name="Raw_data" sheetId="2" r:id="rId1"/>
    <sheet name="Pivot_analysis" sheetId="8" r:id="rId2"/>
    <sheet name=" Clean_data" sheetId="3" r:id="rId3"/>
    <sheet name="Analysis" sheetId="4" r:id="rId4"/>
    <sheet name="Dashboard" sheetId="5" r:id="rId5"/>
  </sheets>
  <definedNames>
    <definedName name="ExternalData_1" localSheetId="2" hidden="1">' Clean_data'!$A$1:$V$450</definedName>
  </definedNames>
  <calcPr calcId="191029"/>
  <pivotCaches>
    <pivotCache cacheId="1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69" i="3" l="1"/>
  <c r="X28" i="3"/>
  <c r="X118" i="3"/>
  <c r="X323" i="3"/>
  <c r="X182" i="3"/>
  <c r="X330" i="3"/>
  <c r="X181" i="3"/>
  <c r="X205" i="3"/>
  <c r="X230" i="3"/>
  <c r="X278" i="3"/>
  <c r="X304" i="3"/>
  <c r="X137" i="3"/>
  <c r="X138" i="3"/>
  <c r="X220" i="3"/>
  <c r="X280" i="3"/>
  <c r="X316" i="3"/>
  <c r="X318" i="3"/>
  <c r="X87" i="3"/>
  <c r="X222" i="3"/>
  <c r="X348" i="3"/>
  <c r="X130" i="3"/>
  <c r="X221" i="3"/>
  <c r="X242" i="3"/>
  <c r="X329" i="3"/>
  <c r="X347" i="3"/>
  <c r="X408" i="3"/>
  <c r="X418" i="3"/>
  <c r="X82" i="3"/>
  <c r="X88" i="3"/>
  <c r="X301" i="3"/>
  <c r="X303" i="3"/>
  <c r="X390" i="3"/>
  <c r="X422" i="3"/>
  <c r="X129" i="3"/>
  <c r="X229" i="3"/>
  <c r="X317" i="3"/>
  <c r="X375" i="3"/>
  <c r="X419" i="3"/>
  <c r="X421" i="3"/>
  <c r="X241" i="3"/>
  <c r="X373" i="3"/>
  <c r="X430" i="3"/>
  <c r="X240" i="3"/>
  <c r="X384" i="3"/>
  <c r="X436" i="3"/>
  <c r="X409" i="3"/>
  <c r="X431" i="3"/>
  <c r="X420" i="3"/>
  <c r="X450" i="3"/>
  <c r="X365" i="3"/>
  <c r="X366" i="3"/>
  <c r="X332" i="3"/>
  <c r="X190" i="3"/>
  <c r="X416" i="3"/>
  <c r="X191" i="3"/>
  <c r="X447" i="3"/>
  <c r="X448" i="3"/>
  <c r="X305" i="3"/>
  <c r="X343" i="3"/>
  <c r="X356" i="3"/>
  <c r="X246" i="3"/>
  <c r="X442" i="3"/>
  <c r="X399" i="3"/>
  <c r="X445" i="3"/>
  <c r="X30" i="3"/>
  <c r="X243" i="3"/>
  <c r="X292" i="3"/>
  <c r="X350" i="3"/>
  <c r="X432" i="3"/>
  <c r="X110" i="3"/>
  <c r="X254" i="3"/>
  <c r="X438" i="3"/>
  <c r="X446" i="3"/>
  <c r="X107" i="3"/>
  <c r="X169" i="3"/>
  <c r="X183" i="3"/>
  <c r="X236" i="3"/>
  <c r="X248" i="3"/>
  <c r="X265" i="3"/>
  <c r="X363" i="3"/>
  <c r="X402" i="3"/>
  <c r="X439" i="3"/>
  <c r="X449" i="3"/>
  <c r="X162" i="3"/>
  <c r="X174" i="3"/>
  <c r="X219" i="3"/>
  <c r="X233" i="3"/>
  <c r="X353" i="3"/>
  <c r="X417" i="3"/>
  <c r="X425" i="3"/>
  <c r="X11" i="3"/>
  <c r="X24" i="3"/>
  <c r="X112" i="3"/>
  <c r="C37" i="4" s="1"/>
  <c r="X154" i="3"/>
  <c r="X167" i="3"/>
  <c r="X225" i="3"/>
  <c r="X257" i="3"/>
  <c r="X302" i="3"/>
  <c r="X349" i="3"/>
  <c r="X387" i="3"/>
  <c r="X427" i="3"/>
  <c r="X44" i="3"/>
  <c r="X64" i="3"/>
  <c r="X67" i="3"/>
  <c r="X109" i="3"/>
  <c r="X111" i="3"/>
  <c r="X122" i="3"/>
  <c r="X127" i="3"/>
  <c r="X136" i="3"/>
  <c r="X156" i="3"/>
  <c r="X164" i="3"/>
  <c r="X185" i="3"/>
  <c r="X194" i="3"/>
  <c r="X204" i="3"/>
  <c r="X206" i="3"/>
  <c r="X361" i="3"/>
  <c r="X441" i="3"/>
  <c r="X16" i="3"/>
  <c r="X25" i="3"/>
  <c r="X50" i="3"/>
  <c r="X71" i="3"/>
  <c r="X96" i="3"/>
  <c r="X98" i="3"/>
  <c r="X170" i="3"/>
  <c r="X247" i="3"/>
  <c r="X263" i="3"/>
  <c r="X371" i="3"/>
  <c r="X398" i="3"/>
  <c r="X412" i="3"/>
  <c r="X434" i="3"/>
  <c r="X18" i="3"/>
  <c r="X23" i="3"/>
  <c r="X29" i="3"/>
  <c r="X31" i="3"/>
  <c r="X35" i="3"/>
  <c r="X46" i="3"/>
  <c r="X54" i="3"/>
  <c r="X68" i="3"/>
  <c r="X81" i="3"/>
  <c r="X90" i="3"/>
  <c r="X92" i="3"/>
  <c r="X100" i="3"/>
  <c r="X125" i="3"/>
  <c r="X134" i="3"/>
  <c r="X140" i="3"/>
  <c r="X142" i="3"/>
  <c r="X147" i="3"/>
  <c r="X173" i="3"/>
  <c r="X184" i="3"/>
  <c r="X260" i="3"/>
  <c r="X310" i="3"/>
  <c r="X320" i="3"/>
  <c r="X383" i="3"/>
  <c r="X385" i="3"/>
  <c r="X405" i="3"/>
  <c r="X415" i="3"/>
  <c r="X426" i="3"/>
  <c r="X428" i="3"/>
  <c r="X429" i="3"/>
  <c r="X433" i="3"/>
  <c r="X3" i="3"/>
  <c r="X7" i="3"/>
  <c r="X12" i="3"/>
  <c r="X15" i="3"/>
  <c r="X19" i="3"/>
  <c r="X27" i="3"/>
  <c r="X33" i="3"/>
  <c r="X56" i="3"/>
  <c r="X61" i="3"/>
  <c r="X77" i="3"/>
  <c r="X123" i="3"/>
  <c r="X128" i="3"/>
  <c r="X151" i="3"/>
  <c r="X166" i="3"/>
  <c r="X201" i="3"/>
  <c r="X202" i="3"/>
  <c r="X271" i="3"/>
  <c r="X296" i="3"/>
  <c r="X322" i="3"/>
  <c r="X335" i="3"/>
  <c r="X377" i="3"/>
  <c r="X380" i="3"/>
  <c r="X389" i="3"/>
  <c r="X400" i="3"/>
  <c r="X406" i="3"/>
  <c r="X411" i="3"/>
  <c r="X437" i="3"/>
  <c r="X440" i="3"/>
  <c r="X443" i="3"/>
  <c r="X9" i="3"/>
  <c r="X20" i="3"/>
  <c r="X22" i="3"/>
  <c r="X26" i="3"/>
  <c r="X40" i="3"/>
  <c r="X41" i="3"/>
  <c r="X43" i="3"/>
  <c r="X53" i="3"/>
  <c r="X59" i="3"/>
  <c r="X60" i="3"/>
  <c r="X89" i="3"/>
  <c r="X141" i="3"/>
  <c r="X212" i="3"/>
  <c r="X214" i="3"/>
  <c r="X239" i="3"/>
  <c r="X245" i="3"/>
  <c r="X249" i="3"/>
  <c r="X270" i="3"/>
  <c r="X272" i="3"/>
  <c r="X281" i="3"/>
  <c r="X283" i="3"/>
  <c r="X290" i="3"/>
  <c r="X298" i="3"/>
  <c r="X410" i="3"/>
  <c r="X2" i="3"/>
  <c r="X6" i="3"/>
  <c r="X8" i="3"/>
  <c r="X17" i="3"/>
  <c r="X21" i="3"/>
  <c r="X42" i="3"/>
  <c r="X48" i="3"/>
  <c r="X62" i="3"/>
  <c r="X83" i="3"/>
  <c r="X84" i="3"/>
  <c r="X95" i="3"/>
  <c r="X101" i="3"/>
  <c r="X119" i="3"/>
  <c r="X139" i="3"/>
  <c r="X150" i="3"/>
  <c r="X172" i="3"/>
  <c r="X193" i="3"/>
  <c r="X218" i="3"/>
  <c r="X238" i="3"/>
  <c r="X252" i="3"/>
  <c r="X261" i="3"/>
  <c r="X277" i="3"/>
  <c r="X288" i="3"/>
  <c r="X294" i="3"/>
  <c r="X336" i="3"/>
  <c r="X341" i="3"/>
  <c r="X352" i="3"/>
  <c r="X354" i="3"/>
  <c r="X374" i="3"/>
  <c r="X376" i="3"/>
  <c r="X424" i="3"/>
  <c r="X435" i="3"/>
  <c r="X49" i="3"/>
  <c r="X57" i="3"/>
  <c r="X75" i="3"/>
  <c r="X103" i="3"/>
  <c r="X126" i="3"/>
  <c r="X135" i="3"/>
  <c r="X143" i="3"/>
  <c r="X146" i="3"/>
  <c r="X199" i="3"/>
  <c r="X211" i="3"/>
  <c r="X231" i="3"/>
  <c r="X279" i="3"/>
  <c r="X282" i="3"/>
  <c r="X309" i="3"/>
  <c r="X344" i="3"/>
  <c r="X382" i="3"/>
  <c r="X391" i="3"/>
  <c r="X392" i="3"/>
  <c r="X396" i="3"/>
  <c r="X397" i="3"/>
  <c r="X403" i="3"/>
  <c r="X4" i="3"/>
  <c r="X5" i="3"/>
  <c r="X36" i="3"/>
  <c r="X93" i="3"/>
  <c r="X94" i="3"/>
  <c r="X131" i="3"/>
  <c r="X153" i="3"/>
  <c r="X158" i="3"/>
  <c r="X171" i="3"/>
  <c r="X175" i="3"/>
  <c r="X232" i="3"/>
  <c r="X307" i="3"/>
  <c r="X312" i="3"/>
  <c r="X362" i="3"/>
  <c r="X395" i="3"/>
  <c r="X413" i="3"/>
  <c r="X32" i="3"/>
  <c r="X52" i="3"/>
  <c r="X65" i="3"/>
  <c r="X72" i="3"/>
  <c r="X85" i="3"/>
  <c r="X86" i="3"/>
  <c r="X97" i="3"/>
  <c r="X102" i="3"/>
  <c r="X108" i="3"/>
  <c r="X115" i="3"/>
  <c r="X116" i="3"/>
  <c r="X124" i="3"/>
  <c r="X152" i="3"/>
  <c r="X155" i="3"/>
  <c r="X157" i="3"/>
  <c r="X176" i="3"/>
  <c r="X198" i="3"/>
  <c r="X200" i="3"/>
  <c r="X274" i="3"/>
  <c r="X287" i="3"/>
  <c r="X321" i="3"/>
  <c r="X340" i="3"/>
  <c r="X394" i="3"/>
  <c r="X423" i="3"/>
  <c r="X13" i="3"/>
  <c r="X45" i="3"/>
  <c r="X73" i="3"/>
  <c r="X99" i="3"/>
  <c r="X113" i="3"/>
  <c r="X133" i="3"/>
  <c r="X160" i="3"/>
  <c r="X165" i="3"/>
  <c r="X189" i="3"/>
  <c r="X209" i="3"/>
  <c r="X223" i="3"/>
  <c r="X224" i="3"/>
  <c r="X227" i="3"/>
  <c r="X284" i="3"/>
  <c r="X293" i="3"/>
  <c r="X297" i="3"/>
  <c r="X299" i="3"/>
  <c r="X315" i="3"/>
  <c r="X346" i="3"/>
  <c r="X372" i="3"/>
  <c r="X10" i="3"/>
  <c r="X37" i="3"/>
  <c r="X39" i="3"/>
  <c r="X47" i="3"/>
  <c r="X51" i="3"/>
  <c r="X66" i="3"/>
  <c r="X74" i="3"/>
  <c r="X76" i="3"/>
  <c r="X117" i="3"/>
  <c r="X132" i="3"/>
  <c r="X163" i="3"/>
  <c r="X178" i="3"/>
  <c r="X186" i="3"/>
  <c r="X192" i="3"/>
  <c r="X196" i="3"/>
  <c r="X259" i="3"/>
  <c r="X266" i="3"/>
  <c r="X327" i="3"/>
  <c r="X364" i="3"/>
  <c r="X379" i="3"/>
  <c r="X393" i="3"/>
  <c r="X14" i="3"/>
  <c r="X38" i="3"/>
  <c r="X180" i="3"/>
  <c r="X187" i="3"/>
  <c r="X195" i="3"/>
  <c r="X213" i="3"/>
  <c r="X276" i="3"/>
  <c r="X314" i="3"/>
  <c r="X325" i="3"/>
  <c r="X337" i="3"/>
  <c r="X355" i="3"/>
  <c r="X357" i="3"/>
  <c r="X401" i="3"/>
  <c r="X404" i="3"/>
  <c r="X414" i="3"/>
  <c r="X444" i="3"/>
  <c r="X63" i="3"/>
  <c r="X149" i="3"/>
  <c r="X188" i="3"/>
  <c r="X208" i="3"/>
  <c r="X250" i="3"/>
  <c r="X251" i="3"/>
  <c r="X268" i="3"/>
  <c r="X300" i="3"/>
  <c r="X308" i="3"/>
  <c r="X328" i="3"/>
  <c r="X333" i="3"/>
  <c r="X338" i="3"/>
  <c r="X345" i="3"/>
  <c r="X381" i="3"/>
  <c r="X386" i="3"/>
  <c r="X34" i="3"/>
  <c r="X58" i="3"/>
  <c r="X70" i="3"/>
  <c r="X120" i="3"/>
  <c r="X121" i="3"/>
  <c r="X168" i="3"/>
  <c r="X203" i="3"/>
  <c r="X228" i="3"/>
  <c r="X237" i="3"/>
  <c r="X269" i="3"/>
  <c r="X285" i="3"/>
  <c r="X286" i="3"/>
  <c r="X306" i="3"/>
  <c r="X326" i="3"/>
  <c r="X351" i="3"/>
  <c r="X369" i="3"/>
  <c r="X370" i="3"/>
  <c r="X80" i="3"/>
  <c r="X91" i="3"/>
  <c r="X106" i="3"/>
  <c r="X114" i="3"/>
  <c r="X145" i="3"/>
  <c r="X161" i="3"/>
  <c r="X177" i="3"/>
  <c r="X215" i="3"/>
  <c r="X253" i="3"/>
  <c r="X275" i="3"/>
  <c r="X289" i="3"/>
  <c r="X313" i="3"/>
  <c r="X319" i="3"/>
  <c r="X331" i="3"/>
  <c r="X334" i="3"/>
  <c r="X359" i="3"/>
  <c r="X407" i="3"/>
  <c r="X105" i="3"/>
  <c r="X159" i="3"/>
  <c r="X179" i="3"/>
  <c r="X217" i="3"/>
  <c r="X256" i="3"/>
  <c r="X291" i="3"/>
  <c r="X311" i="3"/>
  <c r="X342" i="3"/>
  <c r="X367" i="3"/>
  <c r="X368" i="3"/>
  <c r="X378" i="3"/>
  <c r="X55" i="3"/>
  <c r="X262" i="3"/>
  <c r="X339" i="3"/>
  <c r="X358" i="3"/>
  <c r="X388" i="3"/>
  <c r="X79" i="3"/>
  <c r="X144" i="3"/>
  <c r="X207" i="3"/>
  <c r="X244" i="3"/>
  <c r="X78" i="3"/>
  <c r="X216" i="3"/>
  <c r="X255" i="3"/>
  <c r="X258" i="3"/>
  <c r="X295" i="3"/>
  <c r="X104" i="3"/>
  <c r="X148" i="3"/>
  <c r="X267" i="3"/>
  <c r="X210" i="3"/>
  <c r="X234" i="3"/>
  <c r="X235" i="3"/>
  <c r="X264" i="3"/>
  <c r="X226" i="3"/>
  <c r="X197" i="3"/>
  <c r="X360" i="3"/>
  <c r="X324" i="3"/>
  <c r="X273"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C18" i="4"/>
  <c r="C17" i="4"/>
  <c r="C16" i="4"/>
  <c r="C15" i="4"/>
  <c r="C14" i="4"/>
  <c r="C13" i="4"/>
  <c r="C12" i="4"/>
  <c r="C11" i="4"/>
  <c r="B18" i="4"/>
  <c r="B17" i="4"/>
  <c r="B16" i="4"/>
  <c r="B15" i="4"/>
  <c r="B14" i="4"/>
  <c r="B13" i="4"/>
  <c r="B12" i="4"/>
  <c r="B11" i="4"/>
  <c r="B3" i="4"/>
  <c r="B6" i="4"/>
  <c r="B5" i="4"/>
  <c r="B7" i="4"/>
  <c r="B4" i="4"/>
  <c r="B42" i="4" l="1"/>
  <c r="C44" i="4"/>
  <c r="B41" i="4"/>
  <c r="C43" i="4"/>
  <c r="B37" i="4"/>
  <c r="B40" i="4"/>
  <c r="C42" i="4"/>
  <c r="B47" i="4"/>
  <c r="B39" i="4"/>
  <c r="C41" i="4"/>
  <c r="B46" i="4"/>
  <c r="B38" i="4"/>
  <c r="C40" i="4"/>
  <c r="B45" i="4"/>
  <c r="C47" i="4"/>
  <c r="C39" i="4"/>
  <c r="B44" i="4"/>
  <c r="C46" i="4"/>
  <c r="C38" i="4"/>
  <c r="B43" i="4"/>
  <c r="C45" i="4"/>
  <c r="B32" i="4"/>
  <c r="B28" i="4"/>
  <c r="B22" i="4"/>
  <c r="B23" i="4"/>
  <c r="B24" i="4"/>
  <c r="B29" i="4"/>
  <c r="B3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68CBD8-A1CF-404A-A399-BBA98CF6D139}" keepAlive="1" name="Query - Top 500 Movies Ranked by Combined Critics and Audience Scores" description="Connection to the 'Top 500 Movies Ranked by Combined Critics and Audience Scores' query in the workbook." type="5" refreshedVersion="8" background="1" saveData="1">
    <dbPr connection="Provider=Microsoft.Mashup.OleDb.1;Data Source=$Workbook$;Location=&quot;Top 500 Movies Ranked by Combined Critics and Audience Scores&quot;;Extended Properties=&quot;&quot;" command="SELECT * FROM [Top 500 Movies Ranked by Combined Critics and Audience Scores]"/>
  </connection>
</connections>
</file>

<file path=xl/sharedStrings.xml><?xml version="1.0" encoding="utf-8"?>
<sst xmlns="http://schemas.openxmlformats.org/spreadsheetml/2006/main" count="12146" uniqueCount="4383">
  <si>
    <t>Rank</t>
  </si>
  <si>
    <t>Title</t>
  </si>
  <si>
    <t>Year</t>
  </si>
  <si>
    <t>Genre</t>
  </si>
  <si>
    <t>Director</t>
  </si>
  <si>
    <t>Cast</t>
  </si>
  <si>
    <t>Language</t>
  </si>
  <si>
    <t>Plot</t>
  </si>
  <si>
    <t>Awards</t>
  </si>
  <si>
    <t>Production</t>
  </si>
  <si>
    <t>Flickmetrix_Score</t>
  </si>
  <si>
    <t>IMDb_10</t>
  </si>
  <si>
    <t>IMDb_100</t>
  </si>
  <si>
    <t>IMDb_Votes</t>
  </si>
  <si>
    <t>Metacritic</t>
  </si>
  <si>
    <t>Critic_Rating_RT</t>
  </si>
  <si>
    <t>Critic_Reviews</t>
  </si>
  <si>
    <t>Audience_Rating</t>
  </si>
  <si>
    <t>Audience_Reviews</t>
  </si>
  <si>
    <t>Letterboxd</t>
  </si>
  <si>
    <t>Letterboxd_Votes</t>
  </si>
  <si>
    <t>Google_Score</t>
  </si>
  <si>
    <t>Streaming_On</t>
  </si>
  <si>
    <t>RT_URL</t>
  </si>
  <si>
    <t>imdbID</t>
  </si>
  <si>
    <t>Custom_Score</t>
  </si>
  <si>
    <t>The Godfather</t>
  </si>
  <si>
    <t>Drama, Crime</t>
  </si>
  <si>
    <t>Francis Ford Coppola</t>
  </si>
  <si>
    <t>Marlon Brando, Al Pacino, James Caan, Robert Duvall</t>
  </si>
  <si>
    <t>en</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</si>
  <si>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</si>
  <si>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Won 3 Oscars. Another 30 wins &amp; 19 nominations.</t>
  </si>
  <si>
    <t>Paramount Pictures</t>
  </si>
  <si>
    <t>93.0</t>
  </si>
  <si>
    <t>92.0</t>
  </si>
  <si>
    <t>100.0</t>
  </si>
  <si>
    <t>96.0</t>
  </si>
  <si>
    <t>95.0</t>
  </si>
  <si>
    <t>1087289.0</t>
  </si>
  <si>
    <t>1789555.0</t>
  </si>
  <si>
    <t>90.0</t>
  </si>
  <si>
    <t>paramount, itunes, amzvid</t>
  </si>
  <si>
    <t>https://www.rottentomatoes.com/m/godfather</t>
  </si>
  <si>
    <t>tt0068646</t>
  </si>
  <si>
    <t>93.83</t>
  </si>
  <si>
    <t>Seven Samurai</t>
  </si>
  <si>
    <t>Action, Drama</t>
  </si>
  <si>
    <t>Akira Kurosawa</t>
  </si>
  <si>
    <t>Toshir≈ç Mifune, Takashi Shimura, Yoshio Inaba, Seiji Miyaguchi</t>
  </si>
  <si>
    <t>ja</t>
  </si>
  <si>
    <t>A samurai answers a village's request for protection after he falls on hard times. The town needs protection from bandits, so the samurai gathers six others to help him teach the people how to defend themselves, and the villagers provide the soldiers with food.</t>
  </si>
  <si>
    <t>Nominated for 2 Oscars. Another 6 wins &amp; 5 nominations.</t>
  </si>
  <si>
    <t>Columbia Pictures</t>
  </si>
  <si>
    <t>86.0</t>
  </si>
  <si>
    <t>98.0</t>
  </si>
  <si>
    <t>97.0</t>
  </si>
  <si>
    <t>94.0</t>
  </si>
  <si>
    <t>167123.0</t>
  </si>
  <si>
    <t>318537.0</t>
  </si>
  <si>
    <t>hbo, itunes, amzvid, hbm</t>
  </si>
  <si>
    <t>https://www.rottentomatoes.com/m/seven_samurai_1956</t>
  </si>
  <si>
    <t>tt0047478</t>
  </si>
  <si>
    <t>93.33</t>
  </si>
  <si>
    <t>12 Angry Men</t>
  </si>
  <si>
    <t>Drama</t>
  </si>
  <si>
    <t>Sidney Lumet</t>
  </si>
  <si>
    <t>Martin Balsam, John Fiedler, Lee J. Cobb, E.G. Marshall</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</si>
  <si>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</si>
  <si>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Nominated for 3 Oscars. Another 16 wins &amp; 8 nominations.</t>
  </si>
  <si>
    <t>Criterion Collection</t>
  </si>
  <si>
    <t>9.0</t>
  </si>
  <si>
    <t>376697.0</t>
  </si>
  <si>
    <t>917590.0</t>
  </si>
  <si>
    <t>91.0</t>
  </si>
  <si>
    <t>itunes, amzvid</t>
  </si>
  <si>
    <t>https://www.rottentomatoes.com/m/1000013_12_angry_men</t>
  </si>
  <si>
    <t>tt0050083</t>
  </si>
  <si>
    <t>92.83</t>
  </si>
  <si>
    <t>Schindler's List</t>
  </si>
  <si>
    <t>Drama, History, War</t>
  </si>
  <si>
    <t>Steven Spielberg</t>
  </si>
  <si>
    <t>Liam Neeson, Ben Kingsley, Ralph Fiennes, Caroline Goodall</t>
  </si>
  <si>
    <t>The true story of how businessman Oskar Schindler saved over a thousand Jewish lives from the Nazis while they worked as slaves in his factory during World War II.</t>
  </si>
  <si>
    <t>Won 7 Oscars. Another 74 wins &amp; 26 nominations.</t>
  </si>
  <si>
    <t>Universal Pictures</t>
  </si>
  <si>
    <t>601555.0</t>
  </si>
  <si>
    <t>978054.0</t>
  </si>
  <si>
    <t>https://www.rottentomatoes.com/m/schindlers_list</t>
  </si>
  <si>
    <t>tt0108052</t>
  </si>
  <si>
    <t>92.5</t>
  </si>
  <si>
    <t>The Godfather: Part II</t>
  </si>
  <si>
    <t>Al Pacino, Robert Duvall, Diane Keaton, Robert De Niro</t>
  </si>
  <si>
    <t>In the continuing saga of the Corleone crime family, a young Vito Corleone grows up in Sicily and in 1910s New York. In the 1950s, Michael Corleone attempts to expand the family business into Las Vegas, Hollywood and Cuba.</t>
  </si>
  <si>
    <t>Won 6 Oscars. Another 13 wins &amp; 16 nominations.</t>
  </si>
  <si>
    <t>586600.0</t>
  </si>
  <si>
    <t>934120.0</t>
  </si>
  <si>
    <t>89.0</t>
  </si>
  <si>
    <t>https://www.rottentomatoes.com/m/godfather_part_ii/</t>
  </si>
  <si>
    <t>tt0071562</t>
  </si>
  <si>
    <t>91.67</t>
  </si>
  <si>
    <t>Rear Window</t>
  </si>
  <si>
    <t>Thriller, Mystery</t>
  </si>
  <si>
    <t>Alfred Hitchcock</t>
  </si>
  <si>
    <t>James Stewart, Grace Kelly, Wendell Corey, Thelma Ritter</t>
  </si>
  <si>
    <t>A wheelchair-bound photographer spies on his neighbors from his apartment window and becomes convinced one of them has committed murder.</t>
  </si>
  <si>
    <t>Nominated for 4 Oscars. Another 7 wins &amp; 7 nominations.</t>
  </si>
  <si>
    <t>85.0</t>
  </si>
  <si>
    <t>303476.0</t>
  </si>
  <si>
    <t>607614.0</t>
  </si>
  <si>
    <t>https://www.rottentomatoes.com/m/1017289-rear_window</t>
  </si>
  <si>
    <t>tt0047396</t>
  </si>
  <si>
    <t>Pulp Fiction</t>
  </si>
  <si>
    <t>Thriller, Crime</t>
  </si>
  <si>
    <t>Quentin Tarantino</t>
  </si>
  <si>
    <t>John Travolta, Samuel L. Jackson, Uma Thurman, Bruce Willis</t>
  </si>
  <si>
    <t>A burger-loving hit man, his philosophical partner, a drug-addled gangster's moll and a washed-up boxer converge in this sprawling, comedic crime caper. Their adventures unfurl in three stories that ingeniously trip back and forth in time.</t>
  </si>
  <si>
    <t>Won 1 Oscar. Another 63 wins &amp; 47 nominations.</t>
  </si>
  <si>
    <t>Miramax Films</t>
  </si>
  <si>
    <t>1731042.0</t>
  </si>
  <si>
    <t>2931535.0</t>
  </si>
  <si>
    <t>paramount, peacock, itunes, amzvid, hbm</t>
  </si>
  <si>
    <t>https://www.rottentomatoes.com/m/pulp_fiction/</t>
  </si>
  <si>
    <t>tt0110912</t>
  </si>
  <si>
    <t>91.5</t>
  </si>
  <si>
    <t>City Lights</t>
  </si>
  <si>
    <t>Comedy, Drama, Romance</t>
  </si>
  <si>
    <t>Charlie Chaplin</t>
  </si>
  <si>
    <t>Charlie Chaplin, Virginia Cherrill, Florence Lee, Harry Myers</t>
  </si>
  <si>
    <t>A tramp falls in love with a beautiful blind flower girl. His on-and-off friendship with a wealthy man allows him to be the girl's benefactor and suitor.</t>
  </si>
  <si>
    <t>3 wins.</t>
  </si>
  <si>
    <t>Twentieth Century Fox Home Entertainment</t>
  </si>
  <si>
    <t>99.0</t>
  </si>
  <si>
    <t>66173.0</t>
  </si>
  <si>
    <t>144013.0</t>
  </si>
  <si>
    <t>itunes, amzvid, hbm</t>
  </si>
  <si>
    <t>https://www.rottentomatoes.com/m/city_lights</t>
  </si>
  <si>
    <t>tt0021749</t>
  </si>
  <si>
    <t>91.33</t>
  </si>
  <si>
    <t>Spirited Away</t>
  </si>
  <si>
    <t>Animation, Family, Fantasy</t>
  </si>
  <si>
    <t>Hayao Miyazaki</t>
  </si>
  <si>
    <t>Rumi Hiiragi, Miyu Irino, Mari Natsuki, Takashi Naito</t>
  </si>
  <si>
    <t>A young girl, Chihiro, becomes trapped in a strange new world of spirits. When her parents undergo a mysterious transformation, she must call upon the courage she never knew she had to free her family.</t>
  </si>
  <si>
    <t>Won 1 Oscar. Another 51 wins &amp; 22 nominations.</t>
  </si>
  <si>
    <t>Walt Disney Pictures</t>
  </si>
  <si>
    <t>1052053.0</t>
  </si>
  <si>
    <t>2478980.0</t>
  </si>
  <si>
    <t>https://www.rottentomatoes.com/m/spirited_away</t>
  </si>
  <si>
    <t>tt0245429</t>
  </si>
  <si>
    <t>91.17</t>
  </si>
  <si>
    <t>Parasite</t>
  </si>
  <si>
    <t>Comedy, Thriller, Drama</t>
  </si>
  <si>
    <t>Bong Joon Ho</t>
  </si>
  <si>
    <t>Song Kang-ho, Lee Sun-kyun, Cho Yeo-jeong, Choi Woo-shik</t>
  </si>
  <si>
    <t>ko</t>
  </si>
  <si>
    <t>All unemployed, Ki-taek's family takes peculiar interest in the wealthy and glamorous Parks for their livelihood until they get entangled in an unexpected incident.</t>
  </si>
  <si>
    <t>88.0</t>
  </si>
  <si>
    <t>1273882.0</t>
  </si>
  <si>
    <t>3771374.0</t>
  </si>
  <si>
    <t>https://www.rottentomatoes.com/m/parasite_2019</t>
  </si>
  <si>
    <t>tt6751668</t>
  </si>
  <si>
    <t>90.83</t>
  </si>
  <si>
    <t>Modern Times</t>
  </si>
  <si>
    <t>Charlie Chaplin, Paulette Goddard, Henry Bergman, Tiny Sandford</t>
  </si>
  <si>
    <t>A bumbling tramp desires to build a home with a young woman, yet is thwarted time and time again by his lack of experience and habit of being in the wrong place at the wrong time..</t>
  </si>
  <si>
    <t>3 wins &amp; 1 nomination.</t>
  </si>
  <si>
    <t>United Artists</t>
  </si>
  <si>
    <t>97048.0</t>
  </si>
  <si>
    <t>210247.0</t>
  </si>
  <si>
    <t>prime, itunes, amzvid, hbm</t>
  </si>
  <si>
    <t>tt0027977</t>
  </si>
  <si>
    <t>90.67</t>
  </si>
  <si>
    <t>Goodfellas</t>
  </si>
  <si>
    <t>Martin Scorsese</t>
  </si>
  <si>
    <t>Robert De Niro, Ray Liotta, Joe Pesci, Lorraine Bracco</t>
  </si>
  <si>
    <t>The true story of Henry Hill, a half-Irish, half-Sicilian Brooklyn kid who is adopted by neighbourhood gangsters at an early age and climbs the ranks of a Mafia family under the guidance of Jimmy Conway.</t>
  </si>
  <si>
    <t>Won 1 Oscar. Another 42 wins &amp; 24 nominations.</t>
  </si>
  <si>
    <t>Warner Bros.</t>
  </si>
  <si>
    <t>87.0</t>
  </si>
  <si>
    <t>766130.0</t>
  </si>
  <si>
    <t>1435501.0</t>
  </si>
  <si>
    <t>https://www.rottentomatoes.com/m/1032176-goodfellas/</t>
  </si>
  <si>
    <t>tt0099685</t>
  </si>
  <si>
    <t>90.5</t>
  </si>
  <si>
    <t>The Good, the Bad and the Ugly</t>
  </si>
  <si>
    <t>Western</t>
  </si>
  <si>
    <t>Sergio Leone</t>
  </si>
  <si>
    <t>Clint Eastwood, Eli Wallach, Lee Van Cleef, Aldo Giuffr√®</t>
  </si>
  <si>
    <t>it</t>
  </si>
  <si>
    <t>While the Civil War rages on between the Union and the Confederacy, three men ‚Äì a quiet loner, a ruthless hitman, and a Mexican bandit ‚Äì comb the American Southwest in search of a strongbox containing $200,000 in stolen gold.</t>
  </si>
  <si>
    <t>1 win.</t>
  </si>
  <si>
    <t>328668.0</t>
  </si>
  <si>
    <t>504912.0</t>
  </si>
  <si>
    <t>https://www.rottentomatoes.com/m/the_good_the_bad_and_the_ugly</t>
  </si>
  <si>
    <t>tt0060196</t>
  </si>
  <si>
    <t>90.33</t>
  </si>
  <si>
    <t>Dr. Strangelove or: How I Learned to Stop Worrying and Love the Bomb</t>
  </si>
  <si>
    <t>Comedy, War</t>
  </si>
  <si>
    <t>Stanley Kubrick</t>
  </si>
  <si>
    <t>Peter Sellers, George C. Scott, Sterling Hayden, Keenan Wynn</t>
  </si>
  <si>
    <t>After the insane General Jack D. Ripper initiates a nuclear strike on the Soviet Union, a war room full of politicians, generals and a Russian diplomat all frantically try to stop the nuclear strike.</t>
  </si>
  <si>
    <t>Nominated for 4 Oscars. Another 15 wins &amp; 4 nominations.</t>
  </si>
  <si>
    <t>Sony Pictures</t>
  </si>
  <si>
    <t>83.0</t>
  </si>
  <si>
    <t>298335.0</t>
  </si>
  <si>
    <t>475057.0</t>
  </si>
  <si>
    <t>https://www.rottentomatoes.com/m/dr_strangelove</t>
  </si>
  <si>
    <t>tt0057012</t>
  </si>
  <si>
    <t>90.17</t>
  </si>
  <si>
    <t>Casablanca</t>
  </si>
  <si>
    <t>Drama, Romance</t>
  </si>
  <si>
    <t>Michael Curtiz</t>
  </si>
  <si>
    <t>Humphrey Bogart, Ingrid Bergman, Paul Henreid, Claude Rains</t>
  </si>
  <si>
    <t>In Casablanca, Morocco in December 1941, a cynical American expatriate meets a former lover, with unforeseen complications.</t>
  </si>
  <si>
    <t>Won 3 Oscars. Another 6 wins &amp; 6 nominations.</t>
  </si>
  <si>
    <t>Warner Bros. Pictures</t>
  </si>
  <si>
    <t>429846.0</t>
  </si>
  <si>
    <t>572792.0</t>
  </si>
  <si>
    <t>https://www.rottentomatoes.com/m/1003707_casablanca</t>
  </si>
  <si>
    <t>tt0034583</t>
  </si>
  <si>
    <t>The Battle of Algiers</t>
  </si>
  <si>
    <t>Drama, War, History</t>
  </si>
  <si>
    <t>Gillo Pontecorvo</t>
  </si>
  <si>
    <t>Brahim Hadjadj, Yacef Sa√¢di, Fouzia El Kader, Jean Martin</t>
  </si>
  <si>
    <t>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t>
  </si>
  <si>
    <t>Nominated for 3 Oscars. Another 11 wins &amp; 3 nominations.</t>
  </si>
  <si>
    <t>Rialto Pictures</t>
  </si>
  <si>
    <t>81.0</t>
  </si>
  <si>
    <t>37316.0</t>
  </si>
  <si>
    <t>82844.0</t>
  </si>
  <si>
    <t>https://www.rottentomatoes.com/m/the_battle_of_algiers</t>
  </si>
  <si>
    <t>tt0058946</t>
  </si>
  <si>
    <t>Singin' in the Rain</t>
  </si>
  <si>
    <t>Comedy, Romance</t>
  </si>
  <si>
    <t>Stanley Donen, Gene Kelly</t>
  </si>
  <si>
    <t>Gene Kelly, Donald O'Connor, Debbie Reynolds, Jean Hagen</t>
  </si>
  <si>
    <t>In 1927 Hollywood, a silent film production company and cast make a difficult transition to sound.</t>
  </si>
  <si>
    <t>Nominated for 2 Oscars. Another 5 wins &amp; 7 nominations.</t>
  </si>
  <si>
    <t>MGM</t>
  </si>
  <si>
    <t>242729.0</t>
  </si>
  <si>
    <t>450117.0</t>
  </si>
  <si>
    <t>https://www.rottentomatoes.com/m/singin_in_the_rain/</t>
  </si>
  <si>
    <t>tt0045152</t>
  </si>
  <si>
    <t>Some Like It Hot</t>
  </si>
  <si>
    <t>Comedy, Romance, Crime</t>
  </si>
  <si>
    <t>Billy Wilder</t>
  </si>
  <si>
    <t>Tony Curtis, Jack Lemmon, Marilyn Monroe, George Raft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</si>
  <si>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</si>
  <si>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Won 1 Oscar. Another 9 wins &amp; 13 nominations.</t>
  </si>
  <si>
    <t>82.0</t>
  </si>
  <si>
    <t>143114.0</t>
  </si>
  <si>
    <t>264180.0</t>
  </si>
  <si>
    <t>prime, itunes, amzvid</t>
  </si>
  <si>
    <t>https://www.rottentomatoes.com/m/some_like_it_hot/</t>
  </si>
  <si>
    <t>tt0053291</t>
  </si>
  <si>
    <t>89.83</t>
  </si>
  <si>
    <t>Psycho</t>
  </si>
  <si>
    <t>Horror, Thriller, Mystery</t>
  </si>
  <si>
    <t>Anthony Perkins, Janet Leigh, Vera Miles, John Gavin</t>
  </si>
  <si>
    <t>When larcenous real estate clerk Marion Crane goes on the lam with a wad of cash and hopes of starting a new life, she ends up at the notorious Bates Motel, where manager Norman Bates cares for his housebound mother.</t>
  </si>
  <si>
    <t>Nominated for 4 Oscars. Another 7 wins &amp; 5 nominations.</t>
  </si>
  <si>
    <t>491167.0</t>
  </si>
  <si>
    <t>991319.0</t>
  </si>
  <si>
    <t>https://www.rottentomatoes.com/m/psycho/</t>
  </si>
  <si>
    <t>tt0054215</t>
  </si>
  <si>
    <t>Apocalypse Now</t>
  </si>
  <si>
    <t>Drama, War</t>
  </si>
  <si>
    <t>Martin Sheen, Marlon Brando, Albert Hall, Frederic Forrest</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</si>
  <si>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</si>
  <si>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Won 2 Oscars. Another 20 wins &amp; 30 nominations.</t>
  </si>
  <si>
    <t>84.0</t>
  </si>
  <si>
    <t>429279.0</t>
  </si>
  <si>
    <t>714063.0</t>
  </si>
  <si>
    <t>https://www.rottentomatoes.com/m/apocalypse_now/</t>
  </si>
  <si>
    <t>tt0078788</t>
  </si>
  <si>
    <t>89.67</t>
  </si>
  <si>
    <t>Double Indemnity</t>
  </si>
  <si>
    <t>Crime, Thriller</t>
  </si>
  <si>
    <t>Fred MacMurray, Barbara Stanwyck, Edward G. Robinson, Porter Hall</t>
  </si>
  <si>
    <t>A rich woman and a calculating insurance agent plot to kill her unsuspecting husband after he signs a double indemnity policy.</t>
  </si>
  <si>
    <t>Nominated for 7 Oscars. Another 2 wins &amp; 2 nominations.</t>
  </si>
  <si>
    <t>79935.0</t>
  </si>
  <si>
    <t>167927.0</t>
  </si>
  <si>
    <t>https://www.rottentomatoes.com/m/double_indemnity</t>
  </si>
  <si>
    <t>tt0036775</t>
  </si>
  <si>
    <t>89.5</t>
  </si>
  <si>
    <t>Rashomon</t>
  </si>
  <si>
    <t>Crime, Drama, Mystery</t>
  </si>
  <si>
    <t>Toshir≈ç Mifune, Machiko Ky≈ç, Takashi Shimura, Masayuki Mori</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</si>
  <si>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</si>
  <si>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105423.0</t>
  </si>
  <si>
    <t>219549.0</t>
  </si>
  <si>
    <t>https://www.rottentomatoes.com/m/rashomon</t>
  </si>
  <si>
    <t>tt0042876</t>
  </si>
  <si>
    <t>89.33</t>
  </si>
  <si>
    <t>Lawrence of Arabia</t>
  </si>
  <si>
    <t>Adventure, History, War</t>
  </si>
  <si>
    <t>David Lean</t>
  </si>
  <si>
    <t>Peter O'Toole, Alec Guinness, Anthony Quinn, Jack Hawkins</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</si>
  <si>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</si>
  <si>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Won 7 Oscars. Another 22 wins &amp; 15 nominations.</t>
  </si>
  <si>
    <t>129761.0</t>
  </si>
  <si>
    <t>238330.0</t>
  </si>
  <si>
    <t>80.0</t>
  </si>
  <si>
    <t>https://www.rottentomatoes.com/m/lawrence_of_arabia</t>
  </si>
  <si>
    <t>tt0056172</t>
  </si>
  <si>
    <t>All About Eve</t>
  </si>
  <si>
    <t>Joseph L. Mankiewicz</t>
  </si>
  <si>
    <t>Bette Davis, Anne Baxter, George Sanders, Celeste Holm</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</si>
  <si>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</si>
  <si>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Won 6 Oscars. Another 16 wins &amp; 17 nominations.</t>
  </si>
  <si>
    <t>20th Century Fox</t>
  </si>
  <si>
    <t>66740.0</t>
  </si>
  <si>
    <t>109394.0</t>
  </si>
  <si>
    <t>https://www.rottentomatoes.com/m/1000626_all_about_eve</t>
  </si>
  <si>
    <t>tt0042192</t>
  </si>
  <si>
    <t>Portrait of a Lady on Fire</t>
  </si>
  <si>
    <t>Drama, Romance, History</t>
  </si>
  <si>
    <t>C√©line Sciamma</t>
  </si>
  <si>
    <t>No√©mie Merlant, Ad√®le Haenel, Lu√†na Bajrami, Valeria Golino</t>
  </si>
  <si>
    <t>fr</t>
  </si>
  <si>
    <t>On an isolated island in Brittany at the end of the eighteenth century, a female painter is obliged to paint a wedding portrait of a young woman.</t>
  </si>
  <si>
    <t>275015.0</t>
  </si>
  <si>
    <t>819613.0</t>
  </si>
  <si>
    <t>itunes</t>
  </si>
  <si>
    <t>https://www.rottentomatoes.com/m/portrait_of_a_lady_on_fire</t>
  </si>
  <si>
    <t>tt8613070</t>
  </si>
  <si>
    <t>89.17</t>
  </si>
  <si>
    <t>A Separation</t>
  </si>
  <si>
    <t>Asghar Farhadi</t>
  </si>
  <si>
    <t>Leila Hatami, Payman Maadi, Sareh Bayat, Sarina Farhadi</t>
  </si>
  <si>
    <t>fa</t>
  </si>
  <si>
    <t>A married couple are faced with a difficult decision - to improve the life of their child by moving to another country or to stay in Iran and look after a deteriorating parent who has Alzheimer's disease.</t>
  </si>
  <si>
    <t>Won 1 Oscar. Another 84 wins &amp; 30 nominations.</t>
  </si>
  <si>
    <t>Sony Pictures Classics</t>
  </si>
  <si>
    <t>62517.0</t>
  </si>
  <si>
    <t>141543.0</t>
  </si>
  <si>
    <t>https://www.rottentomatoes.com/m/a_separation_2011</t>
  </si>
  <si>
    <t>tt1832382</t>
  </si>
  <si>
    <t>One Battle After Another</t>
  </si>
  <si>
    <t>Action, Thriller, Crime</t>
  </si>
  <si>
    <t>Paul Thomas Anderson</t>
  </si>
  <si>
    <t>Leonardo DiCaprio, Sean Penn, Chase Infiniti, Benicio del Toro</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</si>
  <si>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</si>
  <si>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https://www.rottentomatoes.com/m/one_battle_after_another</t>
  </si>
  <si>
    <t>tt30144839</t>
  </si>
  <si>
    <t>The Lord of the Rings: The Return of the King</t>
  </si>
  <si>
    <t>Adventure, Fantasy, Action</t>
  </si>
  <si>
    <t>Peter Jackson</t>
  </si>
  <si>
    <t>Elijah Wood, Ian McKellen, Viggo Mortensen, Sean Astin</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</si>
  <si>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Power.‚Äã</t>
  </si>
  <si>
    <t>Won 11 Oscars. Another 164 wins &amp; 87 nominations.</t>
  </si>
  <si>
    <t>New Line Cinema</t>
  </si>
  <si>
    <t>23617405.0</t>
  </si>
  <si>
    <t>1492669.0</t>
  </si>
  <si>
    <t>https://www.rottentomatoes.com/m/the_lord_of_the_rings_the_return_of_the_king/</t>
  </si>
  <si>
    <t>tt0167260</t>
  </si>
  <si>
    <t>88.83</t>
  </si>
  <si>
    <t>Citizen Kane</t>
  </si>
  <si>
    <t>Mystery, Drama</t>
  </si>
  <si>
    <t>Orson Welles</t>
  </si>
  <si>
    <t>Orson Welles, Joseph Cotten, Dorothy Comingore, Ray Collins</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</si>
  <si>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</si>
  <si>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Won 1 Oscar. Another 8 wins &amp; 10 nominations.</t>
  </si>
  <si>
    <t>RKO Radio Pictures</t>
  </si>
  <si>
    <t>273099.0</t>
  </si>
  <si>
    <t>499118.0</t>
  </si>
  <si>
    <t>https://www.rottentomatoes.com/m/citizen_kane/</t>
  </si>
  <si>
    <t>tt0033467</t>
  </si>
  <si>
    <t>Metropolis</t>
  </si>
  <si>
    <t>Drama, Science Fiction</t>
  </si>
  <si>
    <t>Fritz Lang</t>
  </si>
  <si>
    <t>Gustav Fr√∂hlich, Brigitte Helm, Alfred Abel, Rudolf Klein-Rogge</t>
  </si>
  <si>
    <t>de</t>
  </si>
  <si>
    <t>In a futuristic city sharply divided between the rich and the poor, the son of the city's mastermind meets a prophet who predicts the coming of a savior to mediate their differences.</t>
  </si>
  <si>
    <t>3 wins &amp; 4 nominations.</t>
  </si>
  <si>
    <t>108894.0</t>
  </si>
  <si>
    <t>200533.0</t>
  </si>
  <si>
    <t>https://www.rottentomatoes.com/m/1013775-metropolis</t>
  </si>
  <si>
    <t>tt0017136</t>
  </si>
  <si>
    <t>It's a Wonderful Life</t>
  </si>
  <si>
    <t>Drama, Family, Fantasy</t>
  </si>
  <si>
    <t>Frank Capra</t>
  </si>
  <si>
    <t>James Stewart, Donna Reed, Lionel Barrymore, Thomas Mitchell</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</si>
  <si>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</si>
  <si>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Nominated for 5 Oscars. Another 7 wins.</t>
  </si>
  <si>
    <t>Liberty Films</t>
  </si>
  <si>
    <t>320749.0</t>
  </si>
  <si>
    <t>522501.0</t>
  </si>
  <si>
    <t>https://www.rottentomatoes.com/m/1010792_its_a_wonderful_life</t>
  </si>
  <si>
    <t>tt0038650</t>
  </si>
  <si>
    <t>Sunset Blvd.</t>
  </si>
  <si>
    <t>William Holden, Gloria Swanson, Erich von Stroheim, Nancy Olson</t>
  </si>
  <si>
    <t>A hack screenwriter writes a screenplay for a former silent film star who has faded into Hollywood obscurity.</t>
  </si>
  <si>
    <t>Won 3 Oscars. Another 19 wins &amp; 14 nominations.</t>
  </si>
  <si>
    <t>123301.0</t>
  </si>
  <si>
    <t>262498.0</t>
  </si>
  <si>
    <t>https://www.rottentomatoes.com/m/sunset_boulevard</t>
  </si>
  <si>
    <t>tt0043014</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</si>
  <si>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</si>
  <si>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</si>
  <si>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Won 4 Oscars. Another 110 wins &amp; 100 nominations.</t>
  </si>
  <si>
    <t>1546965.0</t>
  </si>
  <si>
    <t>1929394.0</t>
  </si>
  <si>
    <t>https://www.rottentomatoes.com/m/the_lord_of_the_rings_the_fellowship_of_the_ring/</t>
  </si>
  <si>
    <t>tt0120737</t>
  </si>
  <si>
    <t>88.67</t>
  </si>
  <si>
    <t>North by Northwest</t>
  </si>
  <si>
    <t>Thriller, Adventure</t>
  </si>
  <si>
    <t>Cary Grant, Eva Marie Saint, James Mason, Jessie Royce Landis</t>
  </si>
  <si>
    <t>Advertising man Roger Thornhill is mistaken for a spy, triggering a deadly cross-country chase.</t>
  </si>
  <si>
    <t>Nominated for 3 Oscars. Another 8 wins &amp; 4 nominations.</t>
  </si>
  <si>
    <t>Turner Entertainment</t>
  </si>
  <si>
    <t>142001.0</t>
  </si>
  <si>
    <t>265857.0</t>
  </si>
  <si>
    <t>https://www.rottentomatoes.com/m/north_by_northwest?</t>
  </si>
  <si>
    <t>tt0053125</t>
  </si>
  <si>
    <t>The Apartment</t>
  </si>
  <si>
    <t>Jack Lemmon, Shirley MacLaine, Fred MacMurray, Ray Walston</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</si>
  <si>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</si>
  <si>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Won 5 Oscars. Another 19 wins &amp; 8 nominations.</t>
  </si>
  <si>
    <t>109780.0</t>
  </si>
  <si>
    <t>252510.0</t>
  </si>
  <si>
    <t>https://www.rottentomatoes.com/m/1001115-apartment</t>
  </si>
  <si>
    <t>tt0053604</t>
  </si>
  <si>
    <t>One Flew Over the Cuckoo's Nest</t>
  </si>
  <si>
    <t>Milo≈° Forman</t>
  </si>
  <si>
    <t>Jack Nicholson, Brad Dourif, Louise Fletcher, Danny DeVito</t>
  </si>
  <si>
    <t>A petty criminal fakes insanity to serve his sentence in a mental ward rather than prison. He soon finds himself as a leader to the other patients‚Äîand an enemy to the cruel, domineering nurse who runs the ward.</t>
  </si>
  <si>
    <t>Won 5 Oscars. Another 31 wins &amp; 12 nominations.</t>
  </si>
  <si>
    <t>421045.0</t>
  </si>
  <si>
    <t>702258.0</t>
  </si>
  <si>
    <t>https://www.rottentomatoes.com/m/one_flew_over_the_cuckoos_nest</t>
  </si>
  <si>
    <t>tt0073486</t>
  </si>
  <si>
    <t>Star Wars: Episode V - The Empire Strikes Back</t>
  </si>
  <si>
    <t>Adventure, Action, Science Fiction</t>
  </si>
  <si>
    <t>Irvin Kershner</t>
  </si>
  <si>
    <t>Mark Hamill, Harrison Ford, Carrie Fisher, Billy Dee Williams</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</si>
  <si>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</si>
  <si>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Won 1 Oscar. Another 15 wins &amp; 17 nominations.</t>
  </si>
  <si>
    <t>Twentieth Century Fox</t>
  </si>
  <si>
    <t>1214408.0</t>
  </si>
  <si>
    <t>1521674.0</t>
  </si>
  <si>
    <t>disney, itunes, amzvid</t>
  </si>
  <si>
    <t>https://www.rottentomatoes.com/m/empire_strikes_back</t>
  </si>
  <si>
    <t>tt0080684</t>
  </si>
  <si>
    <t>Whiplash</t>
  </si>
  <si>
    <t>Drama, Music</t>
  </si>
  <si>
    <t>Damien Chazelle</t>
  </si>
  <si>
    <t>Miles Teller, J.K. Simmons, Paul Reiser, Melissa Benoist</t>
  </si>
  <si>
    <t>Under the direction of a ruthless instructor, a talented young drummer begins to pursue perfection at any cost, even his humanity.</t>
  </si>
  <si>
    <t>Won 3 Oscars. Another 87 wins &amp; 99 nominations.</t>
  </si>
  <si>
    <t>1025887.0</t>
  </si>
  <si>
    <t>2932518.0</t>
  </si>
  <si>
    <t>https://www.rottentomatoes.com/m/whiplash_2014</t>
  </si>
  <si>
    <t>tt2582802</t>
  </si>
  <si>
    <t>Vertigo</t>
  </si>
  <si>
    <t>Mystery, Romance, Thriller</t>
  </si>
  <si>
    <t>James Stewart, Kim Novak, Barbara Bel Geddes, Tom Helmore</t>
  </si>
  <si>
    <t>A retired San Francisco detective suffering from acrophobia investigates the strange activities of an old friend's wife, all the while becoming dangerously obsessed with her.</t>
  </si>
  <si>
    <t>Nominated for 2 Oscars. Another 8 wins &amp; 3 nominations.</t>
  </si>
  <si>
    <t>267419.0</t>
  </si>
  <si>
    <t>596103.0</t>
  </si>
  <si>
    <t>https://www.rottentomatoes.com/m/vertigo</t>
  </si>
  <si>
    <t>tt0052357</t>
  </si>
  <si>
    <t>Bicycle Thieves</t>
  </si>
  <si>
    <t>Vittorio De Sica</t>
  </si>
  <si>
    <t>Lamberto Maggiorani, Enzo Staiola, Lianella Carell, Gino Saltamerenda</t>
  </si>
  <si>
    <t>Unemployed Antonio is elated when he finally finds work hanging posters around war-torn Rome. However on his first day, his bicycle‚Äîessential to his work‚Äîgets stolen. His job is doomed unless he can find the thief. With the help of his son, Antonio combs the city, becoming desperate for justice.</t>
  </si>
  <si>
    <t>Nominated for 1 Oscar. Another 18 wins.</t>
  </si>
  <si>
    <t>ENIC</t>
  </si>
  <si>
    <t>93336.0</t>
  </si>
  <si>
    <t>211270.0</t>
  </si>
  <si>
    <t>https://www.rottentomatoes.com/m/bicycle_thieves</t>
  </si>
  <si>
    <t>tt0040522</t>
  </si>
  <si>
    <t>88.6</t>
  </si>
  <si>
    <t>Ran</t>
  </si>
  <si>
    <t>Action, Drama, History</t>
  </si>
  <si>
    <t>Tatsuya Nakadai, Akira Terao, Jinpachi Nezu, Daisuke Ry≈´</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</si>
  <si>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</si>
  <si>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Won 1 Oscar. Another 29 wins &amp; 18 nominations.</t>
  </si>
  <si>
    <t>80147.0</t>
  </si>
  <si>
    <t>163420.0</t>
  </si>
  <si>
    <t>79.0</t>
  </si>
  <si>
    <t>https://www.rottentomatoes.com/m/ran</t>
  </si>
  <si>
    <t>tt0089881</t>
  </si>
  <si>
    <t>88.5</t>
  </si>
  <si>
    <t>Pan's Labyrinth</t>
  </si>
  <si>
    <t>Fantasy, Drama, War</t>
  </si>
  <si>
    <t>Guillermo del Toro</t>
  </si>
  <si>
    <t>Ivana Baquero, Sergi L√≥pez, Maribel Verd√∫, Ariadna Gil</t>
  </si>
  <si>
    <t>es</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</si>
  <si>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</si>
  <si>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Won 3 Oscars. Another 103 wins &amp; 72 nominations.</t>
  </si>
  <si>
    <t>Picturehouse</t>
  </si>
  <si>
    <t>672087.0</t>
  </si>
  <si>
    <t>741536.0</t>
  </si>
  <si>
    <t>https://www.rottentomatoes.com/m/pans_labyrinth</t>
  </si>
  <si>
    <t>tt0457430</t>
  </si>
  <si>
    <t>The Third Man</t>
  </si>
  <si>
    <t>Carol Reed</t>
  </si>
  <si>
    <t>Joseph Cotten, Alida Valli, Trevor Howard, Orson Welles</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</si>
  <si>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</si>
  <si>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Won 1 Oscar. Another 4 wins &amp; 4 nominations.</t>
  </si>
  <si>
    <t>86513.0</t>
  </si>
  <si>
    <t>151068.0</t>
  </si>
  <si>
    <t>https://www.rottentomatoes.com/m/the_third_man</t>
  </si>
  <si>
    <t>tt0041959</t>
  </si>
  <si>
    <t>Star Wars: Episode IV - A New Hope</t>
  </si>
  <si>
    <t>George Lucas</t>
  </si>
  <si>
    <t>Mark Hamill, Harrison Ford, Carrie Fisher, Peter Cushing</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</si>
  <si>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</si>
  <si>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Won 6 Oscars. Another 38 wins &amp; 27 nominations.</t>
  </si>
  <si>
    <t>1163061.0</t>
  </si>
  <si>
    <t>1758149.0</t>
  </si>
  <si>
    <t>https://www.rottentomatoes.com/m/star_wars</t>
  </si>
  <si>
    <t>tt0076759</t>
  </si>
  <si>
    <t>12 Years a Slave</t>
  </si>
  <si>
    <t>Drama, History</t>
  </si>
  <si>
    <t>Steve McQueen</t>
  </si>
  <si>
    <t>Chiwetel Ejiofor, Michael Fassbender, Lupita Nyong'o, Benedict Cumberbatch</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</si>
  <si>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</si>
  <si>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278959.0</t>
  </si>
  <si>
    <t>554833.0</t>
  </si>
  <si>
    <t>https://www.rottentomatoes.com/m/12_years_a_slave/</t>
  </si>
  <si>
    <t>tt2024544</t>
  </si>
  <si>
    <t>88.33</t>
  </si>
  <si>
    <t>Saving Private Ryan</t>
  </si>
  <si>
    <t>Tom Hanks, Tom Sizemore, Edward Burns, Barry Pepper</t>
  </si>
  <si>
    <t>As U.S. troops storm the beaches of Normandy, three brothers lie dead on the battlefield, with a fourth trapped behind enemy lines. Ranger captain John Miller and seven men are tasked with penetrating German-held territory and bringing the boy home.</t>
  </si>
  <si>
    <t>Won 5 Oscars. Another 78 wins &amp; 66 nominations.</t>
  </si>
  <si>
    <t>1004841.0</t>
  </si>
  <si>
    <t>1024759.0</t>
  </si>
  <si>
    <t>netflix, prime, paramount, itunes, amzvid</t>
  </si>
  <si>
    <t>https://www.rottentomatoes.com/m/saving_private_ryan/</t>
  </si>
  <si>
    <t>tt0120815</t>
  </si>
  <si>
    <t>WALL¬∑E</t>
  </si>
  <si>
    <t>Animation, Family, Science Fiction</t>
  </si>
  <si>
    <t>Andrew Stanton</t>
  </si>
  <si>
    <t>Ben Burtt, Elissa Knight, Jeff Garlin, Fred Willard</t>
  </si>
  <si>
    <t>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t>
  </si>
  <si>
    <t>Won 1 Oscar. Another 84 wins &amp; 65 nominations.</t>
  </si>
  <si>
    <t>1014430.0</t>
  </si>
  <si>
    <t>1843873.0</t>
  </si>
  <si>
    <t>https://www.rottentomatoes.com/m/wall_e</t>
  </si>
  <si>
    <t>tt0910970</t>
  </si>
  <si>
    <t>Alien</t>
  </si>
  <si>
    <t>Horror, Science Fiction</t>
  </si>
  <si>
    <t>Ridley Scott</t>
  </si>
  <si>
    <t>Tom Skerritt, Sigourney Weaver, Veronica Cartwright, Harry Dean Stanton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</si>
  <si>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</si>
  <si>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Won 1 Oscar. Another 15 wins &amp; 19 nominations.</t>
  </si>
  <si>
    <t>764014.0</t>
  </si>
  <si>
    <t>1368049.0</t>
  </si>
  <si>
    <t>hbo, itunes, amzvid</t>
  </si>
  <si>
    <t>https://www.rottentomatoes.com/m/alien</t>
  </si>
  <si>
    <t>tt0078748</t>
  </si>
  <si>
    <t>The 400 Blows</t>
  </si>
  <si>
    <t>Fran√ßois Truffaut</t>
  </si>
  <si>
    <t>Jean-Pierre L√©aud, Claire Maurier, Albert R√©my, Georges Flamant</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</si>
  <si>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</si>
  <si>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Nominated for 1 Oscar. Another 7 wins &amp; 3 nominations.</t>
  </si>
  <si>
    <t>Zenith International Films</t>
  </si>
  <si>
    <t>8.0</t>
  </si>
  <si>
    <t>98670.0</t>
  </si>
  <si>
    <t>218210.0</t>
  </si>
  <si>
    <t>https://www.rottentomatoes.com/m/400_blows</t>
  </si>
  <si>
    <t>tt0053198</t>
  </si>
  <si>
    <t>88.2</t>
  </si>
  <si>
    <t>The Silence of the Lambs</t>
  </si>
  <si>
    <t>Crime, Drama, Thriller</t>
  </si>
  <si>
    <t>Jonathan Demme</t>
  </si>
  <si>
    <t>Jodie Foster, Anthony Hopkins, Scott Glenn, Ted Levine</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</si>
  <si>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</si>
  <si>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Won 5 Oscars. Another 51 wins &amp; 30 nominations.</t>
  </si>
  <si>
    <t>Orion Pictures Corporation</t>
  </si>
  <si>
    <t>1226259.0</t>
  </si>
  <si>
    <t>1981219.0</t>
  </si>
  <si>
    <t>https://www.rottentomatoes.com/m/silence_of_the_lambs/</t>
  </si>
  <si>
    <t>tt0102926</t>
  </si>
  <si>
    <t>88.17</t>
  </si>
  <si>
    <t>Back to the Future</t>
  </si>
  <si>
    <t>Adventure, Comedy, Science Fiction</t>
  </si>
  <si>
    <t>Robert Zemeckis</t>
  </si>
  <si>
    <t>Michael J. Fox, Christopher Lloyd, Crispin Glover, Lea Thompson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</si>
  <si>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</si>
  <si>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Won 1 Oscar. Another 18 wins &amp; 24 nominations.</t>
  </si>
  <si>
    <t>1322805.0</t>
  </si>
  <si>
    <t>1773760.0</t>
  </si>
  <si>
    <t>https://www.rottentomatoes.com/m/back_to_the_future</t>
  </si>
  <si>
    <t>tt0088763</t>
  </si>
  <si>
    <t>Taxi Driver</t>
  </si>
  <si>
    <t>Crime, Drama</t>
  </si>
  <si>
    <t>Robert De Niro, Jodie Foster, Cybill Shepherd, Harvey Keitel</t>
  </si>
  <si>
    <t>A mentally unstable Vietnam War veteran works as a night-time taxi driver in New York City where the perceived decadence and sleaze feed his urge for violent action.</t>
  </si>
  <si>
    <t>Nominated for 4 Oscars. Another 27 wins &amp; 9 nominations.</t>
  </si>
  <si>
    <t>719732.0</t>
  </si>
  <si>
    <t>1635079.0</t>
  </si>
  <si>
    <t>https://www.rottentomatoes.com/m/taxi_driver</t>
  </si>
  <si>
    <t>tt0075314</t>
  </si>
  <si>
    <t>Touch of Evil</t>
  </si>
  <si>
    <t>Crime, Thriller, Mystery, Drama</t>
  </si>
  <si>
    <t>Charlton Heston, Janet Leigh, Orson Welles, Joseph Calleia</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</si>
  <si>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</si>
  <si>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49794.0</t>
  </si>
  <si>
    <t>86695.0</t>
  </si>
  <si>
    <t>https://www.rottentomatoes.com/m/1021749_touch_of_evil</t>
  </si>
  <si>
    <t>tt0052311</t>
  </si>
  <si>
    <t>The Pianist</t>
  </si>
  <si>
    <t>Roman Polanski</t>
  </si>
  <si>
    <t>Adrien Brody, Thomas Kretschmann, Frank Finlay, Maureen Lipman</t>
  </si>
  <si>
    <t>The true story of pianist W≈Çadys≈Çaw Szpilman's experiences in Warsaw during the Nazi occupation. When the Jews of the city find themselves forced into a ghetto, Szpilman finds work playing in a caf√©; and when his family is deported in 1942, he stays behind, works for a while as a laborer, and eventually goes into hiding in the ruins of the war-torn city.</t>
  </si>
  <si>
    <t>Won 3 Oscars. Another 50 wins &amp; 61 nominations.</t>
  </si>
  <si>
    <t>Focus Features</t>
  </si>
  <si>
    <t>457473.0</t>
  </si>
  <si>
    <t>864540.0</t>
  </si>
  <si>
    <t>amzvid</t>
  </si>
  <si>
    <t>https://www.rottentomatoes.com/m/pianist</t>
  </si>
  <si>
    <t>tt0253474</t>
  </si>
  <si>
    <t>Toy Story</t>
  </si>
  <si>
    <t>Animation, Adventure, Family, Comedy</t>
  </si>
  <si>
    <t>John Lasseter</t>
  </si>
  <si>
    <t>Tom Hanks, Tim Allen, Don Rickles, Jim Varney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</si>
  <si>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</si>
  <si>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Nominated for 3 Oscars. Another 23 wins &amp; 14 nominations.</t>
  </si>
  <si>
    <t>Buena Vista</t>
  </si>
  <si>
    <t>1290101.0</t>
  </si>
  <si>
    <t>1651887.0</t>
  </si>
  <si>
    <t>https://www.rottentomatoes.com/m/toy_story/</t>
  </si>
  <si>
    <t>tt0114709</t>
  </si>
  <si>
    <t>Raiders of the Lost Ark</t>
  </si>
  <si>
    <t>Adventure, Action</t>
  </si>
  <si>
    <t>Harrison Ford, Karen Allen, Paul Freeman, John Rhys-Davies</t>
  </si>
  <si>
    <t>When Dr. Indiana Jones ‚Äì the tweed-suited professor who just happens to be a celebrated archaeologist ‚Äì is hired by the government to locate the legendary Ark of the Covenant, he finds himself up against the entire Nazi regime.</t>
  </si>
  <si>
    <t>Won 4 Oscars. Another 28 wins &amp; 22 nominations.</t>
  </si>
  <si>
    <t>869164.0</t>
  </si>
  <si>
    <t>949820.0</t>
  </si>
  <si>
    <t>disney, paramount, itunes, amzvid</t>
  </si>
  <si>
    <t>https://www.rottentomatoes.com/m/raiders_of_the_lost_ark/</t>
  </si>
  <si>
    <t>tt0082971</t>
  </si>
  <si>
    <t>87.83</t>
  </si>
  <si>
    <t>The Lives of Others</t>
  </si>
  <si>
    <t>Drama, Thriller</t>
  </si>
  <si>
    <t>Florian Henckel von Donnersmarck</t>
  </si>
  <si>
    <t>Martina Gedeck, Ulrich M√ºhe, Sebastian Koch, Ulrich Tukur</t>
  </si>
  <si>
    <t>In 1983 East Berlin, dedicated Stasi officer Gerd Wiesler begins spying on a famous playwright and his actress-lover Christa-Maria. Wiesler becomes unexpectedly sympathetic to the couple, and faces conflicting loyalties when his superior takes a liking to Christa-Maria.</t>
  </si>
  <si>
    <t>Won 1 Oscar. Another 79 wins &amp; 27 nominations.</t>
  </si>
  <si>
    <t>131607.0</t>
  </si>
  <si>
    <t>151084.0</t>
  </si>
  <si>
    <t>https://www.rottentomatoes.com/m/the_lives_of_others</t>
  </si>
  <si>
    <t>tt0405094</t>
  </si>
  <si>
    <t>The Best Years of Our Lives</t>
  </si>
  <si>
    <t>Drama, Romance, War</t>
  </si>
  <si>
    <t>William Wyler</t>
  </si>
  <si>
    <t>Dana Andrews, Fredric March, Harold Russell, Teresa Wright</t>
  </si>
  <si>
    <t>It's the hope that sustains the spirit of every GI: the dream of the day when he will finally return home. For three WWII veterans, the day has arrived. But for each man, the dream is about to become a nightmare.</t>
  </si>
  <si>
    <t>Won 7 Oscars. Another 14 wins &amp; 1 nomination.</t>
  </si>
  <si>
    <t>20090.0</t>
  </si>
  <si>
    <t>38366.0</t>
  </si>
  <si>
    <t>prime, amzvid</t>
  </si>
  <si>
    <t>https://www.rottentomatoes.com/m/best_years_of_our_lives</t>
  </si>
  <si>
    <t>tt0036868</t>
  </si>
  <si>
    <t>The Shop Around the Corner</t>
  </si>
  <si>
    <t>Ernst Lubitsch</t>
  </si>
  <si>
    <t>Margaret Sullavan, James Stewart, Frank Morgan, Joseph Schildkraut</t>
  </si>
  <si>
    <t>Two employees at a gift shop can barely stand one another, without realising that they are falling in love through the post as each other's anonymous pen pal.</t>
  </si>
  <si>
    <t>30945.0</t>
  </si>
  <si>
    <t>68741.0</t>
  </si>
  <si>
    <t>https://www.rottentomatoes.com/m/shop_around_the_corner/</t>
  </si>
  <si>
    <t>tt0033045</t>
  </si>
  <si>
    <t>There Will Be Blood</t>
  </si>
  <si>
    <t>Daniel Day-Lewis, Paul Dano, Kevin J. O'Connor, Ciar√°n Hinds</t>
  </si>
  <si>
    <t>The story of Daniel Plainview, and his journey to become the most powerful oil tycoon of the 19th century. He cons and financially manipulates himself over the local landowners, gaining rights to their property, thoroughly cementing his dominance. All the while projecting a family man image, using his adopted son as a front for his violent intent. Local preacher Eli suspects Plainview‚Äôs unsavory aims, and thus begins a feud that threatens both lives.</t>
  </si>
  <si>
    <t>Won 2 Oscars. Another 117 wins &amp; 101 nominations.</t>
  </si>
  <si>
    <t>Paramount Vantage</t>
  </si>
  <si>
    <t>462225.0</t>
  </si>
  <si>
    <t>874342.0</t>
  </si>
  <si>
    <t>https://www.rottentomatoes.com/m/there_will_be_blood</t>
  </si>
  <si>
    <t>tt0469494</t>
  </si>
  <si>
    <t>The Seventh Seal</t>
  </si>
  <si>
    <t>Fantasy, Drama</t>
  </si>
  <si>
    <t>Ingmar Bergman</t>
  </si>
  <si>
    <t>Gunnar Bj√∂rnstrand, Bengt Ekerot, Nils Poppe, Max von Sydow</t>
  </si>
  <si>
    <t>sv</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</si>
  <si>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</si>
  <si>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7 wins &amp; 1 nomination.</t>
  </si>
  <si>
    <t>Janus Films</t>
  </si>
  <si>
    <t>132192.0</t>
  </si>
  <si>
    <t>297436.0</t>
  </si>
  <si>
    <t>https://www.rottentomatoes.com/m/seventh_seal</t>
  </si>
  <si>
    <t>tt0050976</t>
  </si>
  <si>
    <t>87.67</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</si>
  <si>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</si>
  <si>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</si>
  <si>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Won 2 Oscars. Another 103 wins &amp; 100 nominations.</t>
  </si>
  <si>
    <t>1379232.0</t>
  </si>
  <si>
    <t>1454840.0</t>
  </si>
  <si>
    <t>https://www.rottentomatoes.com/m/the_lord_of_the_rings_the_two_towers/</t>
  </si>
  <si>
    <t>tt0167261</t>
  </si>
  <si>
    <t>Do the Right Thing</t>
  </si>
  <si>
    <t>Spike Lee</t>
  </si>
  <si>
    <t>Danny Aiello, Spike Lee, Ossie Davis, Richard Edson</t>
  </si>
  <si>
    <t>Set in Bedford-Stuyvesant</t>
  </si>
  <si>
    <t xml:space="preserve"> Brooklyn</t>
  </si>
  <si>
    <t xml:space="preserve"> New York</t>
  </si>
  <si>
    <t xml:space="preserve"> over one of the hottest days of the year</t>
  </si>
  <si>
    <t xml:space="preserve"> a neighborhood resident Buggin‚Äô Out becomes agitated by the exhibition of Italian actors displayed on a Pizzeria wall. Buggin‚Äô Out thinks that a Pizza place in a predominantly black area should feature black actors</t>
  </si>
  <si>
    <t xml:space="preserve"> but Salvatore ""Sal"" Fragione thinks not. The result is a heated and dramatic playout of racial hatred in 1980s New York."</t>
  </si>
  <si>
    <t>Nominated for 2 Oscars. Another 15 wins &amp; 8 nominations.</t>
  </si>
  <si>
    <t>177459.0</t>
  </si>
  <si>
    <t>384341.0</t>
  </si>
  <si>
    <t>https://www.rottentomatoes.com/m/do_the_right_thing/</t>
  </si>
  <si>
    <t>tt0097216</t>
  </si>
  <si>
    <t>87.5</t>
  </si>
  <si>
    <t>Amadeus</t>
  </si>
  <si>
    <t>History, Music, Drama</t>
  </si>
  <si>
    <t>F. Murray Abraham, Tom Hulce, Elizabeth Berridge, Simon Callow</t>
  </si>
  <si>
    <t>Disciplined Italian composer Antonio Salieri becomes consumed by jealousy and resentment towards the hedonistic and remarkably talented young Viennese composer Wolfgang Amadeus Mozart.</t>
  </si>
  <si>
    <t>Won 8 Oscars. Another 34 wins &amp; 13 nominations.</t>
  </si>
  <si>
    <t>240893.0</t>
  </si>
  <si>
    <t>361671.0</t>
  </si>
  <si>
    <t>https://www.rottentomatoes.com/m/amadeus</t>
  </si>
  <si>
    <t>tt0086879</t>
  </si>
  <si>
    <t>Eternal Sunshine of the Spotless Mind</t>
  </si>
  <si>
    <t>Science Fiction, Drama, Romance</t>
  </si>
  <si>
    <t>Michel Gondry</t>
  </si>
  <si>
    <t>Jim Carrey, Kate Winslet, Kirsten Dunst, Mark Ruffalo</t>
  </si>
  <si>
    <t>Joel Barish, heartbroken that his girlfriend underwent a procedure to erase him from her memory, decides to do the same. However, as he watches his memories of her fade away, he realises that he still loves her, and may be too late to correct his mistake.</t>
  </si>
  <si>
    <t>Won 1 Oscar. Another 71 wins &amp; 68 nominations.</t>
  </si>
  <si>
    <t>1168654.0</t>
  </si>
  <si>
    <t>2359950.0</t>
  </si>
  <si>
    <t>tt0338013</t>
  </si>
  <si>
    <t>The Night of the Hunter</t>
  </si>
  <si>
    <t>Charles Laughton</t>
  </si>
  <si>
    <t>Robert Mitchum, Billy Chapin, Sally Jane Bruce, Shelley Winters</t>
  </si>
  <si>
    <t>In Depression-era West Virginia, a serial-killing preacher hunts two young children who know the whereabouts of a stash of money.</t>
  </si>
  <si>
    <t>72731.0</t>
  </si>
  <si>
    <t>168419.0</t>
  </si>
  <si>
    <t>https://www.rottentomatoes.com/m/night_of_the_hunter</t>
  </si>
  <si>
    <t>tt0048424</t>
  </si>
  <si>
    <t>Ratatouille</t>
  </si>
  <si>
    <t>Animation, Comedy, Family, Fantasy</t>
  </si>
  <si>
    <t>Brad Bird</t>
  </si>
  <si>
    <t>Patton Oswalt, Ian Holm, Lou Romano, Brian Dennehy</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</si>
  <si>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</si>
  <si>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Won 1 Oscar. Another 65 wins &amp; 37 nominations.</t>
  </si>
  <si>
    <t>Disney/Pixar</t>
  </si>
  <si>
    <t>1516553.0</t>
  </si>
  <si>
    <t>2402281.0</t>
  </si>
  <si>
    <t>https://www.rottentomatoes.com/m/ratatouille/</t>
  </si>
  <si>
    <t>tt0382932</t>
  </si>
  <si>
    <t>87.33</t>
  </si>
  <si>
    <t>Past Lives</t>
  </si>
  <si>
    <t>Celine Song</t>
  </si>
  <si>
    <t>Greta Lee, Teo Yoo, John Magaro, Moon Seung-ah</t>
  </si>
  <si>
    <t>Nora and Hae Sung, two childhood friends, are reunited in New York for one fateful week as they confront notions of destiny, love, and the choices that make a life.</t>
  </si>
  <si>
    <t>78.0</t>
  </si>
  <si>
    <t>422095.0</t>
  </si>
  <si>
    <t>1258872.0</t>
  </si>
  <si>
    <t>https://www.rottentomatoes.com/m/past_lives</t>
  </si>
  <si>
    <t>tt13238346</t>
  </si>
  <si>
    <t>87.2</t>
  </si>
  <si>
    <t>The Departed</t>
  </si>
  <si>
    <t>Drama, Thriller, Crime</t>
  </si>
  <si>
    <t>Leonardo DiCaprio, Matt Damon, Jack Nicholson, Mark Wahlberg</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</si>
  <si>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</si>
  <si>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Won 4 Oscars. Another 102 wins &amp; 88 nominations.</t>
  </si>
  <si>
    <t>853886.0</t>
  </si>
  <si>
    <t>1082954.0</t>
  </si>
  <si>
    <t>https://www.rottentomatoes.com/m/departed</t>
  </si>
  <si>
    <t>tt0407887</t>
  </si>
  <si>
    <t>87.17</t>
  </si>
  <si>
    <t>Chinatown</t>
  </si>
  <si>
    <t>Crime, Drama, Mystery, Thriller</t>
  </si>
  <si>
    <t>Jack Nicholson, Faye Dunaway, John Huston, Perry Lopez</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</si>
  <si>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</si>
  <si>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Won 1 Oscar. Another 21 wins &amp; 22 nominations.</t>
  </si>
  <si>
    <t>176581.0</t>
  </si>
  <si>
    <t>373349.0</t>
  </si>
  <si>
    <t>paramount, itunes, amzvid, hbm</t>
  </si>
  <si>
    <t>tt0071315</t>
  </si>
  <si>
    <t>Paths of Glory</t>
  </si>
  <si>
    <t>War, Drama, History</t>
  </si>
  <si>
    <t>Kirk Douglas, Ralph Meeker, Adolphe Menjou, George Macready</t>
  </si>
  <si>
    <t>A commanding officer defends three scapegoats on trial for a failed offensive that occurred within the French Army in 1916.</t>
  </si>
  <si>
    <t>Nominated for 1 BAFTA Film Award. Another 4 wins &amp; 2 nominations.</t>
  </si>
  <si>
    <t>99118.0</t>
  </si>
  <si>
    <t>226166.0</t>
  </si>
  <si>
    <t>https://www.rottentomatoes.com/m/paths_of_glory</t>
  </si>
  <si>
    <t>tt0050825</t>
  </si>
  <si>
    <t>Monty Python and the Holy Grail</t>
  </si>
  <si>
    <t>Adventure, Comedy, Fantasy</t>
  </si>
  <si>
    <t>Terry Jones, Terry Gilliam</t>
  </si>
  <si>
    <t>Graham Chapman, John Cleese, Eric Idle, Terry Gilliam</t>
  </si>
  <si>
    <t>Pythons surrealist comedic take on the legend of King Arthur, the mythical King of the Britons, and his quest for the Holy Grail. Along with his newly recruited Knights of the Round Table: Sir Lancelot the Brave, Sir Robin the Not-So-Brave, Sir Bedevere the Wise, and Sir Galahad the Pure ‚Äì they journey through perilous horrors, including a delusional Black Knight, the Knights who say ‚ÄòNee‚Äô, a house full of virgins, a castle of rather rude Frenchmen.</t>
  </si>
  <si>
    <t>1 win &amp; 2 nominations.</t>
  </si>
  <si>
    <t>Almi Cinema 5</t>
  </si>
  <si>
    <t>602159.0</t>
  </si>
  <si>
    <t>515943.0</t>
  </si>
  <si>
    <t>britbox, prime, peacock, itunes, amzvid</t>
  </si>
  <si>
    <t>https://www.rottentomatoes.com/m/monty_python_and_the_holy_grail</t>
  </si>
  <si>
    <t>tt0071853</t>
  </si>
  <si>
    <t>My Neighbor Totoro</t>
  </si>
  <si>
    <t>Fantasy, Animation, Family</t>
  </si>
  <si>
    <t>Noriko Hidaka, Chika Sakamoto, Hitoshi Takagi, Shigesato Itoi</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</si>
  <si>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</si>
  <si>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5 wins &amp; 1 nomination.</t>
  </si>
  <si>
    <t>Tokuma Shoten</t>
  </si>
  <si>
    <t>503212.0</t>
  </si>
  <si>
    <t>1326860.0</t>
  </si>
  <si>
    <t>https://www.rottentomatoes.com/m/my_neighbor_totoro</t>
  </si>
  <si>
    <t>tt0096283</t>
  </si>
  <si>
    <t>L.A. Confidential</t>
  </si>
  <si>
    <t>Crime, Mystery, Thriller, Drama</t>
  </si>
  <si>
    <t>Curtis Hanson</t>
  </si>
  <si>
    <t>Guy Pearce, Russell Crowe, Kevin Spacey, Kim Basinger</t>
  </si>
  <si>
    <t>Three detectives in the corrupt and brutal L.A. police force of the 1950s use differing methods to uncover a conspiracy behind the shotgun slayings of the patrons at an all-night diner.</t>
  </si>
  <si>
    <t>Won 2 Oscars. Another 95 wins &amp; 62 nominations.</t>
  </si>
  <si>
    <t>205235.0</t>
  </si>
  <si>
    <t>312718.0</t>
  </si>
  <si>
    <t>hulu, disney, prime</t>
  </si>
  <si>
    <t>https://www.rottentomatoes.com/m/la_confidential</t>
  </si>
  <si>
    <t>tt0119488</t>
  </si>
  <si>
    <t>The Lion King</t>
  </si>
  <si>
    <t>Family, Animation, Drama</t>
  </si>
  <si>
    <t>Roger Allers, Rob Minkoff</t>
  </si>
  <si>
    <t>Matthew Broderick, Moira Kelly, Nathan Lane, Ernie Sabella</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</si>
  <si>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</si>
  <si>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Won 2 Oscars. Another 28 wins &amp; 25 nominations.</t>
  </si>
  <si>
    <t>1332919.0</t>
  </si>
  <si>
    <t>1460091.0</t>
  </si>
  <si>
    <t>https://www.rottentomatoes.com/m/the_lion_king</t>
  </si>
  <si>
    <t>tt0110357</t>
  </si>
  <si>
    <t>Hamilton</t>
  </si>
  <si>
    <t>History, Drama</t>
  </si>
  <si>
    <t>Thomas Kail</t>
  </si>
  <si>
    <t>Lin-Manuel Miranda, Leslie Odom Jr., Ren√©e Elise Goldsberry, Phillipa Soo</t>
  </si>
  <si>
    <t>Presenting the tale of American founding father Alexander Hamilton, this filmed version of the original Broadway smash hit is the story of America then, told by America now.</t>
  </si>
  <si>
    <t>142644.0</t>
  </si>
  <si>
    <t>423181.0</t>
  </si>
  <si>
    <t>https://www.rottentomatoes.com/m/hamilton_2020</t>
  </si>
  <si>
    <t>tt8503618</t>
  </si>
  <si>
    <t>86.83</t>
  </si>
  <si>
    <t>Cinema Paradiso</t>
  </si>
  <si>
    <t>Giuseppe Tornatore</t>
  </si>
  <si>
    <t>Philippe Noiret, Jacques Perrin, Marco Leonardi, Salvatore Cascio</t>
  </si>
  <si>
    <t>A filmmaker recalls his childhood, when he fell in love with the movies at his village's theater and formed a deep friendship with the theater's projectionist.</t>
  </si>
  <si>
    <t>Won 1 Oscar. Another 20 wins &amp; 23 nominations.</t>
  </si>
  <si>
    <t>156145.0</t>
  </si>
  <si>
    <t>336814.0</t>
  </si>
  <si>
    <t>https://www.rottentomatoes.com/m/cinema_paradiso</t>
  </si>
  <si>
    <t>tt0095765</t>
  </si>
  <si>
    <t>City of God</t>
  </si>
  <si>
    <t>Fernando Meirelles</t>
  </si>
  <si>
    <t>Alexandre Rodrigues, Leandro Firmino, Phellipe Haagensen, Douglas Silva</t>
  </si>
  <si>
    <t>pt</t>
  </si>
  <si>
    <t>In the poverty-stricken favelas of Rio de Janeiro in the 1970s, two young men choose different paths. Rocket is a budding photographer who documents the increasing drug-related violence of his neighborhood, while Jos√© ‚ÄúZ√©‚Äù Pequeno is an ambitious drug dealer diving into a dangerous life of crime.</t>
  </si>
  <si>
    <t>Nominated for 4 Oscars. Another 70 wins &amp; 29 nominations.</t>
  </si>
  <si>
    <t>417654.0</t>
  </si>
  <si>
    <t>747463.0</t>
  </si>
  <si>
    <t>https://www.rottentomatoes.com/m/city_of_god</t>
  </si>
  <si>
    <t>tt0317248</t>
  </si>
  <si>
    <t>Wolfwalkers</t>
  </si>
  <si>
    <t>Animation, Family, Adventure, Fantasy</t>
  </si>
  <si>
    <t>Tomm Moore, Ross Stewart</t>
  </si>
  <si>
    <t>Honor Kneafsey, Eva Whittaker, Sean Bean, Simon McBurney</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</si>
  <si>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</si>
  <si>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45817.0</t>
  </si>
  <si>
    <t>135079.0</t>
  </si>
  <si>
    <t>apple</t>
  </si>
  <si>
    <t>tt5198068</t>
  </si>
  <si>
    <t>The Bridge on the River Kwai</t>
  </si>
  <si>
    <t>William Holden, Alec Guinness, Jack Hawkins, Sessue Hayakawa</t>
  </si>
  <si>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</si>
  <si>
    <t>Won 7 Oscars. Another 23 wins &amp; 7 nominations.</t>
  </si>
  <si>
    <t>67210.0</t>
  </si>
  <si>
    <t>91805.0</t>
  </si>
  <si>
    <t>https://www.rottentomatoes.com/m/bridge_on_the_river_kwai</t>
  </si>
  <si>
    <t>tt0050212</t>
  </si>
  <si>
    <t>I'm Still Here</t>
  </si>
  <si>
    <t>Walter Salles</t>
  </si>
  <si>
    <t>Fernanda Torres, Selton Mello, Valentina Herszage, B√°rbara Luz</t>
  </si>
  <si>
    <t>In 1971, military dictatorship in Brazil reaches its height. The Paiva family ‚Äî Rubens, Eunice, and their five children ‚Äî live in a beachside house in Rio, open to all their friends. One day, Rubens is taken for questioning and does not return.</t>
  </si>
  <si>
    <t>526291.0</t>
  </si>
  <si>
    <t>netflix</t>
  </si>
  <si>
    <t>https://www.rottentomatoes.com/m/im_still_here_2024</t>
  </si>
  <si>
    <t>tt14961016</t>
  </si>
  <si>
    <t>86.8</t>
  </si>
  <si>
    <t>It Happened One Night</t>
  </si>
  <si>
    <t>Clark Gable, Claudette Colbert, Walter Connolly, Roscoe Karns</t>
  </si>
  <si>
    <t>A runaway heiress makes a deal with the rogue reporter trailing her but the mismatched pair end up stuck with each other when their bus leaves them behind.</t>
  </si>
  <si>
    <t>Won 5 Oscars. Another 5 wins &amp; 1 nomination.</t>
  </si>
  <si>
    <t>Sony Pictures Home Entertainment</t>
  </si>
  <si>
    <t>56458.0</t>
  </si>
  <si>
    <t>101589.0</t>
  </si>
  <si>
    <t>https://www.rottentomatoes.com/m/it_happened_one_night/</t>
  </si>
  <si>
    <t>tt0025316</t>
  </si>
  <si>
    <t>86.67</t>
  </si>
  <si>
    <t>Beauty and the Beast</t>
  </si>
  <si>
    <t>Romance, Family, Animation, Fantasy</t>
  </si>
  <si>
    <t>Gary Trousdale, Kirk Wise</t>
  </si>
  <si>
    <t>Paige O'Hara, Robby Benson, Richard White, Jerry Orbach</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</si>
  <si>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</si>
  <si>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Won 2 Oscars. Another 22 wins &amp; 20 nominations.</t>
  </si>
  <si>
    <t>679535.0</t>
  </si>
  <si>
    <t>640107.0</t>
  </si>
  <si>
    <t>https://www.rottentomatoes.com/m/beauty_and_the_beast_1991/</t>
  </si>
  <si>
    <t>tt0101414</t>
  </si>
  <si>
    <t>Spider-Man: Into the Spider-Verse</t>
  </si>
  <si>
    <t>Animation, Action, Adventure, Science Fiction</t>
  </si>
  <si>
    <t>Bob Persichetti, Peter Ramsey, Rodney Rothman</t>
  </si>
  <si>
    <t>Shameik Moore, Jake Johnson, Hailee Steinfeld, Mahershala Ali</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</si>
  <si>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</si>
  <si>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1068834.0</t>
  </si>
  <si>
    <t>3153094.0</t>
  </si>
  <si>
    <t>netflix, itunes, amzvid</t>
  </si>
  <si>
    <t>https://www.rottentomatoes.com/m/spider_man_into_the_spider_verse/</t>
  </si>
  <si>
    <t>tt4633694</t>
  </si>
  <si>
    <t>8¬Ω</t>
  </si>
  <si>
    <t>Federico Fellini</t>
  </si>
  <si>
    <t>Marcello Mastroianni, Anouk Aim√©e, Sandra Milo, Claudia Cardinale</t>
  </si>
  <si>
    <t>Guido Anselmi, a film director, finds himself creatively barren at the peak of his career. Urged by his doctors to rest, Anselmi heads for a luxurious resort, but a sorry group gathers‚Äîhis producer, staff, actors, wife, mistress, and relatives‚Äîeach one begging him to get on with the show. In retreat from their dependency, he fantasizes about past women and dreams of his childhood.</t>
  </si>
  <si>
    <t>Won 2 Oscars. Another 16 wins &amp; 8 nominations.</t>
  </si>
  <si>
    <t>Cinerez</t>
  </si>
  <si>
    <t>95771.0</t>
  </si>
  <si>
    <t>196861.0</t>
  </si>
  <si>
    <t>https://www.rottentomatoes.com/m/8_12</t>
  </si>
  <si>
    <t>tt0056801</t>
  </si>
  <si>
    <t>Spider-Man: Across the Spider-Verse</t>
  </si>
  <si>
    <t>Kemp Powers, Justin K. Thompson, Joaquim Dos Santos</t>
  </si>
  <si>
    <t>Shameik Moore, Hailee Steinfeld, Brian Tyree Henry, Luna Lauren Velez</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</si>
  <si>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</si>
  <si>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838214.0</t>
  </si>
  <si>
    <t>2432408.0</t>
  </si>
  <si>
    <t>disney</t>
  </si>
  <si>
    <t>https://www.rottentomatoes.com/m/spider_man_across_the_spider_verse</t>
  </si>
  <si>
    <t>tt9362722</t>
  </si>
  <si>
    <t>86.6</t>
  </si>
  <si>
    <t>The Wild Robot</t>
  </si>
  <si>
    <t>Animation, Science Fiction, Family</t>
  </si>
  <si>
    <t>Chris Sanders</t>
  </si>
  <si>
    <t>Lupita Nyong'o, Pedro Pascal, Kit Connor, Bill Nighy</t>
  </si>
  <si>
    <t>After a shipwreck, an intelligent robot called Roz is stranded on an uninhabited island. To survive the harsh environment, Roz bonds with the island's animals and cares for an orphaned baby goose.</t>
  </si>
  <si>
    <t>807351.0</t>
  </si>
  <si>
    <t>peacock</t>
  </si>
  <si>
    <t>https://www.rottentomatoes.com/m/the_wild_robot</t>
  </si>
  <si>
    <t>tt29623480</t>
  </si>
  <si>
    <t>Gone with the Wind</t>
  </si>
  <si>
    <t>Drama, War, Romance</t>
  </si>
  <si>
    <t>Victor Fleming</t>
  </si>
  <si>
    <t>Vivien Leigh, Clark Gable, Olivia de Havilland, Leslie Howard</t>
  </si>
  <si>
    <t>The spoiled daughter of a Georgia plantation owner conducts a tumultuous romance with a cynical profiteer during the American Civil War and Reconstruction Era.</t>
  </si>
  <si>
    <t>Won 8 Oscars. Another 11 wins &amp; 6 nominations.</t>
  </si>
  <si>
    <t>Loew's Inc.</t>
  </si>
  <si>
    <t>259241.0</t>
  </si>
  <si>
    <t>189395.0</t>
  </si>
  <si>
    <t>https://www.rottentomatoes.com/m/gone_with_the_wind</t>
  </si>
  <si>
    <t>tt0031381</t>
  </si>
  <si>
    <t>86.5</t>
  </si>
  <si>
    <t>The Wild Bunch</t>
  </si>
  <si>
    <t>Sam Peckinpah</t>
  </si>
  <si>
    <t>William Holden, Ernest Borgnine, Robert Ryan, Jaime S√°nchez</t>
  </si>
  <si>
    <t>An aging group of outlaws look for one last big score as the "traditional" American West is disappearing around them.</t>
  </si>
  <si>
    <t>Nominated for 2 Oscars. Another 6 wins &amp; 3 nominations.</t>
  </si>
  <si>
    <t>43809.0</t>
  </si>
  <si>
    <t>62739.0</t>
  </si>
  <si>
    <t>https://www.rottentomatoes.com/m/1059489_wild_bunch</t>
  </si>
  <si>
    <t>tt0065214</t>
  </si>
  <si>
    <t>In the Mood for Love</t>
  </si>
  <si>
    <t>Wong Kar-wai</t>
  </si>
  <si>
    <t>Tony Leung, Maggie Cheung Man-Yuk, Rebecca Pan, Kelly Lai Chen</t>
  </si>
  <si>
    <t>cn</t>
  </si>
  <si>
    <t>In 1962 Hong Kong, two neighbors form a strong bond after both suspect extramarital activities of their spouses.</t>
  </si>
  <si>
    <t>Nominated for 1 BAFTA Film Award. Another 43 wins &amp; 38 nominations.</t>
  </si>
  <si>
    <t>USA Films</t>
  </si>
  <si>
    <t>251393.0</t>
  </si>
  <si>
    <t>645707.0</t>
  </si>
  <si>
    <t>hbm</t>
  </si>
  <si>
    <t>https://www.rottentomatoes.com/m/in_the_mood_for_love_2001</t>
  </si>
  <si>
    <t>tt0118694</t>
  </si>
  <si>
    <t>Toy Story 3</t>
  </si>
  <si>
    <t>Animation, Family, Comedy</t>
  </si>
  <si>
    <t>Lee Unkrich</t>
  </si>
  <si>
    <t>Tom Hanks, Tim Allen, Joan Cusack, Don Rickles</t>
  </si>
  <si>
    <t>Woody, Buzz, and the rest of Andy's toys haven't been played with in years. With Andy about to go to college, the gang find themselves accidentally left at a nefarious day care center. The toys must band together to escape and return home to Andy.</t>
  </si>
  <si>
    <t>Won 2 Oscars. Another 61 wins &amp; 81 nominations.</t>
  </si>
  <si>
    <t>796262.0</t>
  </si>
  <si>
    <t>1171417.0</t>
  </si>
  <si>
    <t>https://www.rottentomatoes.com/m/toy_story_3</t>
  </si>
  <si>
    <t>tt0435761</t>
  </si>
  <si>
    <t>The Truman Show</t>
  </si>
  <si>
    <t>Comedy, Drama</t>
  </si>
  <si>
    <t>Peter Weir</t>
  </si>
  <si>
    <t>Jim Carrey, Laura Linney, Noah Emmerich, Natascha McElhone</t>
  </si>
  <si>
    <t>Every second of every day, from the moment he was born, for the last thirty years, Truman Burbank has been the unwitting star of the longest running, most popular documentary-soap opera in history. The picture-perfect town of Seahaven that he calls home is actually a gigantic soundstage. Truman's friends and family - everyone he meets, in fact - are actors. He lives every moment under the unblinking gaze of thousands of hidden TV cameras.</t>
  </si>
  <si>
    <t>Nominated for 3 Oscars. Another 35 wins &amp; 64 nominations.</t>
  </si>
  <si>
    <t>1350393.0</t>
  </si>
  <si>
    <t>2880682.0</t>
  </si>
  <si>
    <t>https://www.rottentomatoes.com/m/truman_show</t>
  </si>
  <si>
    <t>tt0120382</t>
  </si>
  <si>
    <t>Fargo</t>
  </si>
  <si>
    <t>Joel Coen</t>
  </si>
  <si>
    <t>Frances McDormand, William H. Macy, Steve Buscemi, Peter Stormare</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</si>
  <si>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</si>
  <si>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Won 2 Oscars. Another 78 wins &amp; 42 nominations.</t>
  </si>
  <si>
    <t>470077.0</t>
  </si>
  <si>
    <t>939939.0</t>
  </si>
  <si>
    <t>https://www.rottentomatoes.com/m/fargo/</t>
  </si>
  <si>
    <t>tt0116282</t>
  </si>
  <si>
    <t>Shoplifters</t>
  </si>
  <si>
    <t>Drama, Crime, Thriller</t>
  </si>
  <si>
    <t>Hirokazu Kore-eda</t>
  </si>
  <si>
    <t>Lily Franky, Sakura Ando, Mayu Matsuoka, Kairi Jo</t>
  </si>
  <si>
    <t>After one of their shoplifting sessions, Osamu and his son come across a little girl in the freezing cold. At first reluctant to shelter the girl, Osamu‚Äôs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</si>
  <si>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83143.0</t>
  </si>
  <si>
    <t>244423.0</t>
  </si>
  <si>
    <t>https://www.rottentomatoes.com/m/shoplifters</t>
  </si>
  <si>
    <t>tt8075192</t>
  </si>
  <si>
    <t>No Country for Old Men</t>
  </si>
  <si>
    <t>Joel Coen, Ethan Coen</t>
  </si>
  <si>
    <t>Javier Bardem, Tommy Lee Jones, Josh Brolin, Woody Harrelson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</si>
  <si>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</si>
  <si>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Won 4 Oscars. Another 168 wins &amp; 98 nominations.</t>
  </si>
  <si>
    <t>743270.0</t>
  </si>
  <si>
    <t>1428294.0</t>
  </si>
  <si>
    <t>prime, paramount, itunes, amzvid, hbm</t>
  </si>
  <si>
    <t>https://www.rottentomatoes.com/m/no_country_for_old_men</t>
  </si>
  <si>
    <t>tt0477348</t>
  </si>
  <si>
    <t>86.33</t>
  </si>
  <si>
    <t>Aliens</t>
  </si>
  <si>
    <t>Action, Thriller, Science Fiction</t>
  </si>
  <si>
    <t>James Cameron</t>
  </si>
  <si>
    <t>Sigourney Weaver, Carrie Henn, Michael Biehn, Paul Reiser</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</si>
  <si>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</si>
  <si>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Won 2 Oscars. Another 16 wins &amp; 22 nominations.</t>
  </si>
  <si>
    <t>20th Century Fox Film Corporat</t>
  </si>
  <si>
    <t>516707.0</t>
  </si>
  <si>
    <t>687721.0</t>
  </si>
  <si>
    <t>https://www.rottentomatoes.com/m/1000617-aliens/</t>
  </si>
  <si>
    <t>tt0090605</t>
  </si>
  <si>
    <t>La Dolce Vita</t>
  </si>
  <si>
    <t>Marcello Mastroianni, Anita Ekberg, Anouk Aim√©e, Yvonne Furneaux</t>
  </si>
  <si>
    <t>Episodic journey of journalist Marcello who struggles to find his place in the world, torn between the allure of Rome's elite social scene and the stifling domesticity offered by his girlfriend, all the while searching for a way to become a serious writer.</t>
  </si>
  <si>
    <t>Won 1 Oscar. Another 10 wins &amp; 12 nominations.</t>
  </si>
  <si>
    <t>American International Picture</t>
  </si>
  <si>
    <t>62176.0</t>
  </si>
  <si>
    <t>118064.0</t>
  </si>
  <si>
    <t>https://www.rottentomatoes.com/m/dolce_vita</t>
  </si>
  <si>
    <t>tt0053779</t>
  </si>
  <si>
    <t>Once Upon a Time in the West</t>
  </si>
  <si>
    <t>Drama, Western</t>
  </si>
  <si>
    <t>Claudia Cardinale, Henry Fonda, Jason Robards, Charles Bronson</t>
  </si>
  <si>
    <t>As the railroad builders advance unstoppably through the Arizona desert on their way to the sea, Jill arrives in the small town of Flagstone with the intention of starting a new life.</t>
  </si>
  <si>
    <t>4 wins &amp; 5 nominations.</t>
  </si>
  <si>
    <t>112953.0</t>
  </si>
  <si>
    <t>206571.0</t>
  </si>
  <si>
    <t>https://www.rottentomatoes.com/m/once_upon_a_time_in_the_west</t>
  </si>
  <si>
    <t>tt0064116</t>
  </si>
  <si>
    <t>The General</t>
  </si>
  <si>
    <t>Comedy, Action, Adventure, War</t>
  </si>
  <si>
    <t>Clyde Bruckman, Buster Keaton</t>
  </si>
  <si>
    <t>Buster Keaton, Marion Mack, Glen Cavender, Jim Farley</t>
  </si>
  <si>
    <t>During America‚Äôs Civil War, Union spies steal engineer Johnny Gray's beloved locomotive, 'The General'‚Äîwith Johnnie's lady love aboard an attached boxcar‚Äîand he single-handedly must do all in his power to both get The General back and to rescue Annabelle.</t>
  </si>
  <si>
    <t>2 wins &amp; 1 nomination.</t>
  </si>
  <si>
    <t>United Artists Films</t>
  </si>
  <si>
    <t>36906.0</t>
  </si>
  <si>
    <t>87490.0</t>
  </si>
  <si>
    <t>https://www.rottentomatoes.com/m/1008166-general</t>
  </si>
  <si>
    <t>tt0017925</t>
  </si>
  <si>
    <t>86.2</t>
  </si>
  <si>
    <t>Solaris</t>
  </si>
  <si>
    <t>Drama, Science Fiction, Mystery</t>
  </si>
  <si>
    <t>Andrei Tarkovsky</t>
  </si>
  <si>
    <t>Natalya Bondarchuk, Donatas Banionis, J√ºri J√§rvet, Vladislav Dvorzhetsky</t>
  </si>
  <si>
    <t>ru</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</si>
  <si>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</si>
  <si>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2 wins &amp; 4 nominations.</t>
  </si>
  <si>
    <t>Kino International</t>
  </si>
  <si>
    <t>71458.0</t>
  </si>
  <si>
    <t>159749.0</t>
  </si>
  <si>
    <t>https://www.rottentomatoes.com/m/solaris_1976</t>
  </si>
  <si>
    <t>tt0069293</t>
  </si>
  <si>
    <t>86.17</t>
  </si>
  <si>
    <t>Platoon</t>
  </si>
  <si>
    <t>Drama, War, Action</t>
  </si>
  <si>
    <t>Oliver Stone</t>
  </si>
  <si>
    <t>Charlie Sheen, Willem Dafoe, Tom Berenger, Kevin Dillon</t>
  </si>
  <si>
    <t>As a young and naive recruit in Vietnam, Chris Taylor faces a moral crisis when confronted with the horrors of war and the duality of man.</t>
  </si>
  <si>
    <t>Won 4 Oscars. Another 23 wins &amp; 10 nominations.</t>
  </si>
  <si>
    <t>Orion Pictures</t>
  </si>
  <si>
    <t>242805.0</t>
  </si>
  <si>
    <t>247515.0</t>
  </si>
  <si>
    <t>tt0091763</t>
  </si>
  <si>
    <t>Spotlight</t>
  </si>
  <si>
    <t>Tom McCarthy</t>
  </si>
  <si>
    <t>Mark Ruffalo, Michael Keaton, Rachel McAdams, Liev Schreiber</t>
  </si>
  <si>
    <t>The true story of how the Boston Globe uncovered the massive scandal of child molestation and cover-up within the local Catholic Archdiocese, shaking the entire Catholic Church to its core.</t>
  </si>
  <si>
    <t>Open Road Films</t>
  </si>
  <si>
    <t>208496.0</t>
  </si>
  <si>
    <t>483396.0</t>
  </si>
  <si>
    <t>https://www.rottentomatoes.com/m/spotlight_2015</t>
  </si>
  <si>
    <t>tt1895587</t>
  </si>
  <si>
    <t>Forrest Gump</t>
  </si>
  <si>
    <t>Tom Hanks, Robin Wright, Gary Sinise, Sally Field</t>
  </si>
  <si>
    <t>A man with a low IQ has accomplished great things in his life and been present during significant historic events‚Äîin each case, far exceeding what anyone imagined he could do. But despite all he has achieved, his one true love eludes him.</t>
  </si>
  <si>
    <t>Won 6 Oscars. Another 40 wins &amp; 47 nominations.</t>
  </si>
  <si>
    <t>1666500.0</t>
  </si>
  <si>
    <t>2511027.0</t>
  </si>
  <si>
    <t>https://www.rottentomatoes.com/m/forrest_gump/</t>
  </si>
  <si>
    <t>tt0109830</t>
  </si>
  <si>
    <t>Your Name</t>
  </si>
  <si>
    <t>Animation, Romance, Drama</t>
  </si>
  <si>
    <t>Makoto Shinkai</t>
  </si>
  <si>
    <t>Ryunosuke Kamiki, Mone Kamishiraishi, Ryo Narita, Aoi Yuki</t>
  </si>
  <si>
    <t>High schoolers Mitsuha and Taki are complete strangers living separate lives. But one night, they suddenly switch places. Mitsuha wakes up in Taki‚Äôs body, and he in hers. This bizarre occurrence continues to happen randomly, and the two must adjust their lives around each other.</t>
  </si>
  <si>
    <t>346957.0</t>
  </si>
  <si>
    <t>1014115.0</t>
  </si>
  <si>
    <t>https://www.rottentomatoes.com/m/your_name_2016</t>
  </si>
  <si>
    <t>tt5311514</t>
  </si>
  <si>
    <t>Memories of Murder</t>
  </si>
  <si>
    <t>Song Kang-ho, Kim Sang-kyung, Kim Roi-ha, Song Jae-ho</t>
  </si>
  <si>
    <t>During the late 1980s, two detectives in a South Korean province attempt to solve the nation's first series of rape-and-murder cases.</t>
  </si>
  <si>
    <t>13 wins &amp; 3 nominations.</t>
  </si>
  <si>
    <t>CJ Entertainment</t>
  </si>
  <si>
    <t>203836.0</t>
  </si>
  <si>
    <t>587951.0</t>
  </si>
  <si>
    <t>paramount, amzvid</t>
  </si>
  <si>
    <t>https://www.rottentomatoes.com/m/memories_of_murder_2003/</t>
  </si>
  <si>
    <t>tt0353969</t>
  </si>
  <si>
    <t>The Wizard of Oz</t>
  </si>
  <si>
    <t>Adventure, Fantasy, Family</t>
  </si>
  <si>
    <t>Judy Garland, Frank Morgan, Ray Bolger, Bert Lahr</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</si>
  <si>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</si>
  <si>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Won 2 Oscars. Another 7 wins &amp; 13 nominations.</t>
  </si>
  <si>
    <t>799483.0</t>
  </si>
  <si>
    <t>644347.0</t>
  </si>
  <si>
    <t>hbo, itunes, hbm</t>
  </si>
  <si>
    <t>https://www.rottentomatoes.com/m/the_wizard_of_oz_1939/</t>
  </si>
  <si>
    <t>tt0032138</t>
  </si>
  <si>
    <t>The Wages of Fear</t>
  </si>
  <si>
    <t>Drama, Thriller, Adventure</t>
  </si>
  <si>
    <t>Henri-Georges Clouzot</t>
  </si>
  <si>
    <t>Yves Montand, Charles Vanel, Peter van Eyck, Folco Lulli</t>
  </si>
  <si>
    <t>In a run-down South American town, four men are paid to drive trucks loaded with nitroglycerin into the jungle through to the oil field. Friendships are tested and rivalries develop as they embark upon the perilous journey.</t>
  </si>
  <si>
    <t>Won 1 BAFTA Film Award. Another 5 wins.</t>
  </si>
  <si>
    <t>22172.0</t>
  </si>
  <si>
    <t>48927.0</t>
  </si>
  <si>
    <t>amzvid, hbm</t>
  </si>
  <si>
    <t>https://www.rottentomatoes.com/m/wages_of_fear</t>
  </si>
  <si>
    <t>tt0046268</t>
  </si>
  <si>
    <t>The Last Picture Show</t>
  </si>
  <si>
    <t>Peter Bogdanovich</t>
  </si>
  <si>
    <t>Timothy Bottoms, Cybill Shepherd, Jeff Bridges, Cloris Leachman</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</si>
  <si>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</si>
  <si>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Won 2 Oscars. Another 22 wins &amp; 16 nominations.</t>
  </si>
  <si>
    <t>33440.0</t>
  </si>
  <si>
    <t>71748.0</t>
  </si>
  <si>
    <t>https://www.rottentomatoes.com/m/last_picture_show/</t>
  </si>
  <si>
    <t>tt0067328</t>
  </si>
  <si>
    <t>I Am Not Your Negro</t>
  </si>
  <si>
    <t>Documentary</t>
  </si>
  <si>
    <t>Raoul Peck</t>
  </si>
  <si>
    <t>Samuel L. Jackson, James Baldwin, Martin Luther King Jr., Malcolm X</t>
  </si>
  <si>
    <t>Set on James Baldwin‚Äôs innovative yet unfinished final novel: "Remember This House". Narrated by Samuel L. Jackson, Raoul Peck‚Äôs documentary is a fictionalized version of the assassination of Baldwin‚Äôs personal friends: Medgar Evers, Malcolm X and Martin Luther King, Jr.</t>
  </si>
  <si>
    <t>28746.0</t>
  </si>
  <si>
    <t>57440.0</t>
  </si>
  <si>
    <t>https://www.rottentomatoes.com/m/i_am_not_your_negro</t>
  </si>
  <si>
    <t>tt5804038</t>
  </si>
  <si>
    <t>The Act of Killing</t>
  </si>
  <si>
    <t>Joshua Oppenheimer</t>
  </si>
  <si>
    <t>Anwar Congo, Herman Koto, Syamsul Arifin, Ibrahim Sinik</t>
  </si>
  <si>
    <t>id</t>
  </si>
  <si>
    <t>Filmmakers expose the horrifying mass executions of accused communists in Indonesia and those who are celebrated in their country for perpetrating the crime.</t>
  </si>
  <si>
    <t>Nominated for 1 Oscar. Another 56 wins &amp; 30 nominations.</t>
  </si>
  <si>
    <t>Drafthouse Films</t>
  </si>
  <si>
    <t>35639.0</t>
  </si>
  <si>
    <t>76803.0</t>
  </si>
  <si>
    <t>tt2375605</t>
  </si>
  <si>
    <t>The Cabinet of Dr. Caligari</t>
  </si>
  <si>
    <t>Drama, Horror, Thriller, Crime</t>
  </si>
  <si>
    <t>Robert Wiene</t>
  </si>
  <si>
    <t>Werner Krauss, Conrad Veidt, Friedrich Feh√©r, Lil Dagover</t>
  </si>
  <si>
    <t>Francis, a young man, recalls in his memory the horrible experiences he and his fianc√©e Jane recently went through. Francis and his friend Alan visit The Cabinet of Dr. Caligari, an exhibit where the mysterious doctor shows the somnambulist Cesare, and awakens him for some moments from his death-like sleep.</t>
  </si>
  <si>
    <t>77818.0</t>
  </si>
  <si>
    <t>177616.0</t>
  </si>
  <si>
    <t>amzvid, itunes</t>
  </si>
  <si>
    <t>https://www.rottentomatoes.com/m/the_cabinet_of_dr_caligari</t>
  </si>
  <si>
    <t>tt0010323</t>
  </si>
  <si>
    <t>Reservoir Dogs</t>
  </si>
  <si>
    <t>Harvey Keitel, Tim Roth, Michael Madsen, Chris Penn</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</si>
  <si>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</si>
  <si>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12 wins &amp; 11 nominations.</t>
  </si>
  <si>
    <t>693273.0</t>
  </si>
  <si>
    <t>1184639.0</t>
  </si>
  <si>
    <t>https://www.rottentomatoes.com/m/reservoir_dogs/</t>
  </si>
  <si>
    <t>tt0105236</t>
  </si>
  <si>
    <t>Memento</t>
  </si>
  <si>
    <t>Mystery, Thriller</t>
  </si>
  <si>
    <t>Christopher Nolan</t>
  </si>
  <si>
    <t>Guy Pearce, Carrie-Anne Moss, Joe Pantoliano, Mark Boone Junior</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</si>
  <si>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</si>
  <si>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Nominated for 2 Oscars. Another 52 wins &amp; 44 nominations.</t>
  </si>
  <si>
    <t>Newmarket Films</t>
  </si>
  <si>
    <t>689974.0</t>
  </si>
  <si>
    <t>1305228.0</t>
  </si>
  <si>
    <t>peacock, prime, itunes, amzvid, hbm</t>
  </si>
  <si>
    <t>https://www.rottentomatoes.com/m/memento</t>
  </si>
  <si>
    <t>tt0209144</t>
  </si>
  <si>
    <t>The Deer Hunter</t>
  </si>
  <si>
    <t>Michael Cimino</t>
  </si>
  <si>
    <t>Robert De Niro, Christopher Walken, John Cazale, John Savage</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</si>
  <si>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</si>
  <si>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Won 5 Oscars. Another 24 wins &amp; 18 nominations.</t>
  </si>
  <si>
    <t>142669.0</t>
  </si>
  <si>
    <t>220254.0</t>
  </si>
  <si>
    <t>https://www.rottentomatoes.com/m/deer_hunter</t>
  </si>
  <si>
    <t>tt0077416</t>
  </si>
  <si>
    <t>Yi Yi</t>
  </si>
  <si>
    <t>Edward Yang</t>
  </si>
  <si>
    <t>Wu Nien-jen, Issey Ogata, Elaine Jin Yan-Ling, Kelly Lee</t>
  </si>
  <si>
    <t>zh</t>
  </si>
  <si>
    <t>Each member of a family in Taipei asks hard questions about life's meaning as they live through everyday quandaries. NJ is morose: his brother owes him money, his mother-in-law is in a coma, his wife suffers a spiritual crisis when she finds her life a blank and his business partners make bad decisions.</t>
  </si>
  <si>
    <t>40627.0</t>
  </si>
  <si>
    <t>106448.0</t>
  </si>
  <si>
    <t>77.0</t>
  </si>
  <si>
    <t>https://www.rottentomatoes.com/m/yi_yi</t>
  </si>
  <si>
    <t>tt0244316</t>
  </si>
  <si>
    <t>The Handmaid</t>
  </si>
  <si>
    <t>Thriller, Drama, Romance</t>
  </si>
  <si>
    <t>Park Chan-wook</t>
  </si>
  <si>
    <t>Kim Min-hee, Kim Tae-ri, Ha Jung-woo, Cho Jin-woong</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</si>
  <si>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elope with him, rob her of her fortune, and lock her up in a madhouse. The plan seems to proceed according to plan until Sookee and Hideko discover some unexpected emotions.</t>
  </si>
  <si>
    <t>198447.0</t>
  </si>
  <si>
    <t>572569.0</t>
  </si>
  <si>
    <t>https://www.rottentomatoes.com/m/the_handmaiden/</t>
  </si>
  <si>
    <t>tt4016934</t>
  </si>
  <si>
    <t>Aftersun</t>
  </si>
  <si>
    <t>Charlotte Wells</t>
  </si>
  <si>
    <t>Paul Mescal, Frankie Corio, Brooklyn Toulson, Celia Rowlson-Hall</t>
  </si>
  <si>
    <t>Sophie reflects on the shared joy and private melancholy of a holiday she took with her father twenty years earlier. Memories real and imagined fill the gaps between miniDV footage as she tries to reconcile the father she knew with the man she didn't.</t>
  </si>
  <si>
    <t>76.0</t>
  </si>
  <si>
    <t>384741.0</t>
  </si>
  <si>
    <t>1151527.0</t>
  </si>
  <si>
    <t>https://www.rottentomatoes.com/m/aftersun</t>
  </si>
  <si>
    <t>tt19770238</t>
  </si>
  <si>
    <t>Raging Bull</t>
  </si>
  <si>
    <t>Robert De Niro, Cathy Moriarty, Joe Pesci, Frank Vincent</t>
  </si>
  <si>
    <t>The life of boxer Jake LaMotta, whose violence and temper that led him to the top in the ring destroyed his life outside of it.</t>
  </si>
  <si>
    <t>Won 2 Oscars. Another 23 wins &amp; 24 nominations.</t>
  </si>
  <si>
    <t>228557.0</t>
  </si>
  <si>
    <t>421824.0</t>
  </si>
  <si>
    <t>mubi, prime, itunes, amzvid, hbm</t>
  </si>
  <si>
    <t>https://www.rottentomatoes.com/m/raging_bull</t>
  </si>
  <si>
    <t>tt0081398</t>
  </si>
  <si>
    <t>85.83</t>
  </si>
  <si>
    <t>Nobody Knows</t>
  </si>
  <si>
    <t>Yuya Yagira, Ayu Kitaura, Hiei Kimura, Momoko Shimizu</t>
  </si>
  <si>
    <t>In a small Tokyo apartment, twelve-year-old Akira must care for his younger siblings after their mother leaves them and shows no sign of returning.</t>
  </si>
  <si>
    <t>13 wins &amp; 10 nominations.</t>
  </si>
  <si>
    <t>IFC Films</t>
  </si>
  <si>
    <t>30957.0</t>
  </si>
  <si>
    <t>72551.0</t>
  </si>
  <si>
    <t>https://www.rottentomatoes.com/m/nobody_knows</t>
  </si>
  <si>
    <t>tt0408664</t>
  </si>
  <si>
    <t>Terminator 2: Judgment Day</t>
  </si>
  <si>
    <t>Arnold Schwarzenegger, Linda Hamilton, Edward Furlong, Robert Patrick</t>
  </si>
  <si>
    <t>Set ten years after the events of the original, James Cameron‚Äôs classic sci-fi action flick tells the story of a second attempt to get rid of rebellion leader John Connor, this time targeting the boy himself. However, the rebellion has sent a reprogrammed terminator to protect Connor.</t>
  </si>
  <si>
    <t>Won 4 Oscars. Another 20 wins &amp; 21 nominations.</t>
  </si>
  <si>
    <t>TriStar Pictures</t>
  </si>
  <si>
    <t>75.0</t>
  </si>
  <si>
    <t>732641.0</t>
  </si>
  <si>
    <t>696537.0</t>
  </si>
  <si>
    <t>https://www.rottentomatoes.com/m/terminator_2_judgment_day/</t>
  </si>
  <si>
    <t>tt0103064</t>
  </si>
  <si>
    <t>Rosemary's Baby</t>
  </si>
  <si>
    <t>Drama, Horror, Thriller</t>
  </si>
  <si>
    <t>Mia Farrow, John Cassavetes, Ruth Gordon, Sidney Blackmer</t>
  </si>
  <si>
    <t>A young couple, Rosemary and Guy, moves into an infamous New York apartment building, known by frightening legends and mysterious events, with the purpose of starting a family.</t>
  </si>
  <si>
    <t>198214.0</t>
  </si>
  <si>
    <t>446121.0</t>
  </si>
  <si>
    <t>prime, paramount, itunes, amzvid</t>
  </si>
  <si>
    <t>https://www.rottentomatoes.com/m/rosemarys_baby</t>
  </si>
  <si>
    <t>tt0063522</t>
  </si>
  <si>
    <t>The Philadelphia Story</t>
  </si>
  <si>
    <t>George Cukor</t>
  </si>
  <si>
    <t>Cary Grant, Katharine Hepburn, James Stewart, Ruth Hussey</t>
  </si>
  <si>
    <t>When a rich woman's ex-husband and a tabloid-type reporter turn up just before her planned remarriage, she begins to learn the truth about herself.</t>
  </si>
  <si>
    <t>Won 2 Oscars. Another 3 wins &amp; 4 nominations.</t>
  </si>
  <si>
    <t>57062.0</t>
  </si>
  <si>
    <t>76512.0</t>
  </si>
  <si>
    <t>https://www.rottentomatoes.com/m/philadelphia_story</t>
  </si>
  <si>
    <t>tt0032904</t>
  </si>
  <si>
    <t>Diabolique</t>
  </si>
  <si>
    <t>V√©ra Clouzot, Simone Signoret, Paul Meurisse, Charles Vanel</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</si>
  <si>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</si>
  <si>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4 wins.</t>
  </si>
  <si>
    <t>Kino Lorber Inc.</t>
  </si>
  <si>
    <t>30133.0</t>
  </si>
  <si>
    <t>69607.0</t>
  </si>
  <si>
    <t>https://www.rottentomatoes.com/m/1032980_diabolique</t>
  </si>
  <si>
    <t>tt0046911</t>
  </si>
  <si>
    <t>85.8</t>
  </si>
  <si>
    <t>Mad Max: Fury Road</t>
  </si>
  <si>
    <t>Action, Adventure, Science Fiction</t>
  </si>
  <si>
    <t>George Miller</t>
  </si>
  <si>
    <t>Tom Hardy, Charlize Theron, Nicholas Hoult, Hugh Keays-Byrne</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</si>
  <si>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</si>
  <si>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1 win &amp; 3 nominations.</t>
  </si>
  <si>
    <t>643941.0</t>
  </si>
  <si>
    <t>1670956.0</t>
  </si>
  <si>
    <t>https://www.rottentomatoes.com/m/mad_max_fury_road</t>
  </si>
  <si>
    <t>tt1392190</t>
  </si>
  <si>
    <t>85.67</t>
  </si>
  <si>
    <t>To Kill a Mockingbird</t>
  </si>
  <si>
    <t>Robert Mulligan</t>
  </si>
  <si>
    <t>Mary Badham, Gregory Peck, Phillip Alford, John Megna</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</si>
  <si>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</si>
  <si>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Won 3 Oscars. Another 10 wins &amp; 16 nominations.</t>
  </si>
  <si>
    <t>Universal International Pictur</t>
  </si>
  <si>
    <t>188021.0</t>
  </si>
  <si>
    <t>205312.0</t>
  </si>
  <si>
    <t>https://www.rottentomatoes.com/m/to_kill_a_mockingbird</t>
  </si>
  <si>
    <t>tt0056592</t>
  </si>
  <si>
    <t>Crouching Tiger, Hidden Dragon</t>
  </si>
  <si>
    <t>Adventure, Drama, Action, Romance</t>
  </si>
  <si>
    <t>Ang Lee</t>
  </si>
  <si>
    <t>Chow Yun-Fat, Michelle Yeoh, Zhang Ziyi, Chang Chen</t>
  </si>
  <si>
    <t>Two warriors in pursuit of a stolen sword and a notorious fugitive are led to an impetuous, physically-skilled, teenage nobleman's daughter, who is at a crossroads in her life.</t>
  </si>
  <si>
    <t>Won 4 Oscars. Another 94 wins &amp; 124 nominations.</t>
  </si>
  <si>
    <t>355015.0</t>
  </si>
  <si>
    <t>209205.0</t>
  </si>
  <si>
    <t>https://www.rottentomatoes.com/m/crouching_tiger_hidden_dragon/</t>
  </si>
  <si>
    <t>tt0190332</t>
  </si>
  <si>
    <t>2001: A Space Odyssey</t>
  </si>
  <si>
    <t>Science Fiction, Mystery, Adventure</t>
  </si>
  <si>
    <t>Keir Dullea, Gary Lockwood, William Sylvester, Douglas Rain</t>
  </si>
  <si>
    <t>Humanity finds a mysterious object buried beneath the lunar surface and sets off to find its origins with the help of HAL 9000, the world's most advanced super computer.</t>
  </si>
  <si>
    <t>Won 1 Oscar. Another 14 wins &amp; 6 nominations.</t>
  </si>
  <si>
    <t>555464.0</t>
  </si>
  <si>
    <t>1065318.0</t>
  </si>
  <si>
    <t>https://www.rottentomatoes.com/m/2001_a_space_odyssey</t>
  </si>
  <si>
    <t>tt0062622</t>
  </si>
  <si>
    <t>Dune: Part Two</t>
  </si>
  <si>
    <t>Science Fiction, Adventure</t>
  </si>
  <si>
    <t>Denis Villeneuve</t>
  </si>
  <si>
    <t>Timoth√©e Chalamet, Zendaya, Rebecca Ferguson, Javier Bardem</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</si>
  <si>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</si>
  <si>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771597.0</t>
  </si>
  <si>
    <t>2282092.0</t>
  </si>
  <si>
    <t>hbo</t>
  </si>
  <si>
    <t>https://www.rottentomatoes.com/m/dune_part_two</t>
  </si>
  <si>
    <t>tt15239678</t>
  </si>
  <si>
    <t>85.6</t>
  </si>
  <si>
    <t>Flow</t>
  </si>
  <si>
    <t>Animation, Fantasy, Adventure</t>
  </si>
  <si>
    <t>Gints Zilbalodis</t>
  </si>
  <si>
    <t>lv</t>
  </si>
  <si>
    <t>A solitary cat, displaced by a great flood, finds refuge on a boat with various species and must navigate the challenges of adapting to a transformed world together.</t>
  </si>
  <si>
    <t>552498.0</t>
  </si>
  <si>
    <t>https://www.rottentomatoes.com/m/flow_2024</t>
  </si>
  <si>
    <t>tt4772188</t>
  </si>
  <si>
    <t>Waltz with Bashir</t>
  </si>
  <si>
    <t>Drama, Animation, War, Documentary</t>
  </si>
  <si>
    <t>Ari Folman</t>
  </si>
  <si>
    <t>Ari Folman, Mickey Leon, Ori Sivan, Yehezkel Lazarov</t>
  </si>
  <si>
    <t>he</t>
  </si>
  <si>
    <t>An Israeli film director interviews fellow veterans of the 1982 invasion of Lebanon to reconstruct his own memories of his term of service in that conflict.</t>
  </si>
  <si>
    <t>Nominated for 1 Oscar. Another 54 wins &amp; 41 nominations.</t>
  </si>
  <si>
    <t>45622.0</t>
  </si>
  <si>
    <t>48820.0</t>
  </si>
  <si>
    <t>https://www.rottentomatoes.com/m/waltz_with_bashir</t>
  </si>
  <si>
    <t>tt1185616</t>
  </si>
  <si>
    <t>85.5</t>
  </si>
  <si>
    <t>Persepolis</t>
  </si>
  <si>
    <t>Animation, Drama</t>
  </si>
  <si>
    <t>Vincent Paronnaud, Marjane Satrapi</t>
  </si>
  <si>
    <t>Chiara Mastroianni, Danielle Darrieux, Catherine Deneuve, Simon Abkarian</t>
  </si>
  <si>
    <t>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</si>
  <si>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Nominated for 1 Oscar. Another 29 wins &amp; 48 nominations.</t>
  </si>
  <si>
    <t>90152.0</t>
  </si>
  <si>
    <t>169387.0</t>
  </si>
  <si>
    <t>https://www.rottentomatoes.com/m/persepolis</t>
  </si>
  <si>
    <t>tt0808417</t>
  </si>
  <si>
    <t>Won't You Be My Neighbor?</t>
  </si>
  <si>
    <t>Morgan Neville</t>
  </si>
  <si>
    <t>Margaret Whitmer, Tom Junod, Joanne Rogers, Jim Rogers</t>
  </si>
  <si>
    <t>For more than thirty years, and through his television program, Fred Rogers (1928-2003), host, producer, writer and pianist, accompanied by his puppets and his many friends, spoke directly to young children about some of life's most important issues.</t>
  </si>
  <si>
    <t>29872.0</t>
  </si>
  <si>
    <t>80612.0</t>
  </si>
  <si>
    <t>https://www.rottentomatoes.com/m/wont_you_be_my_neighbor</t>
  </si>
  <si>
    <t>tt7681902</t>
  </si>
  <si>
    <t>Inside Out</t>
  </si>
  <si>
    <t>Animation, Family, Adventure, Drama, Comedy</t>
  </si>
  <si>
    <t>Pete Docter</t>
  </si>
  <si>
    <t>Amy Poehler, Phyllis Smith, Richard Kind, Bill Hader</t>
  </si>
  <si>
    <t>When 11-year-old Riley moves to a new city, her Emotions team up to help her through the transition. Joy, Fear, Anger, Disgust and Sadness work together, but when Joy and Sadness get lost, they must journey through unfamiliar places to get back home.</t>
  </si>
  <si>
    <t>4 nominations.</t>
  </si>
  <si>
    <t>851631.0</t>
  </si>
  <si>
    <t>2277929.0</t>
  </si>
  <si>
    <t>https://www.rottentomatoes.com/m/inside_out_2015</t>
  </si>
  <si>
    <t>tt2096673</t>
  </si>
  <si>
    <t>Up</t>
  </si>
  <si>
    <t>Animation, Comedy, Family, Adventure</t>
  </si>
  <si>
    <t>Ed Asner, Christopher Plummer, Jordan Nagai, Bob Peterson</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</si>
  <si>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</si>
  <si>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Won 2 Oscars. Another 79 wins &amp; 59 nominations.</t>
  </si>
  <si>
    <t>1493295.0</t>
  </si>
  <si>
    <t>2069307.0</t>
  </si>
  <si>
    <t>https://www.rottentomatoes.com/m/up</t>
  </si>
  <si>
    <t>tt1049413</t>
  </si>
  <si>
    <t>Call Me by Your Name</t>
  </si>
  <si>
    <t>Romance, Drama</t>
  </si>
  <si>
    <t>Luca Guadagnino</t>
  </si>
  <si>
    <t>Armie Hammer, Timoth√©e Chalamet, Michael Stuhlbarg, Amira Casar</t>
  </si>
  <si>
    <t>In 1980s Italy, a relationship begins between seventeen-year-old teenage Elio and the older adult man hired as his father's research assistant.</t>
  </si>
  <si>
    <t>691944.0</t>
  </si>
  <si>
    <t>2041245.0</t>
  </si>
  <si>
    <t>prime, hbo, itunes, hbm</t>
  </si>
  <si>
    <t>https://www.rottentomatoes.com/m/call_me_by_your_name</t>
  </si>
  <si>
    <t>tt5726616</t>
  </si>
  <si>
    <t>Oppenheimer</t>
  </si>
  <si>
    <t>Cillian Murphy, Emily Blunt, Matt Damon, Robert Downey Jr.</t>
  </si>
  <si>
    <t>The story of J. Robert Oppenheimer's role in the development of the atomic bomb during World War II.</t>
  </si>
  <si>
    <t>1000378.0</t>
  </si>
  <si>
    <t>2917402.0</t>
  </si>
  <si>
    <t>https://www.rottentomatoes.com/m/oppenheimer_2023</t>
  </si>
  <si>
    <t>tt15398776</t>
  </si>
  <si>
    <t>85.4</t>
  </si>
  <si>
    <t>The Father</t>
  </si>
  <si>
    <t>Florian Zeller</t>
  </si>
  <si>
    <t>Anthony Hopkins, Olivia Colman, Mark Gatiss, Olivia Williams</t>
  </si>
  <si>
    <t>A man refuses all assistance from his daughter as he ages and, as he tries to make sense of his changing circumstances, he begins to doubt his loved ones, his own mind and even the fabric of his reality.</t>
  </si>
  <si>
    <t>119435.0</t>
  </si>
  <si>
    <t>353409.0</t>
  </si>
  <si>
    <t>https://www.rottentomatoes.com/m/the_father_2020</t>
  </si>
  <si>
    <t>tt10272386</t>
  </si>
  <si>
    <t>La Strada</t>
  </si>
  <si>
    <t>Giulietta Masina, Anthony Quinn, Richard Basehart, Aldo Silvani</t>
  </si>
  <si>
    <t>When Gelsomina, a na√Øve young woman, is purchased from her impoverished mother by brutish circus strongman Zampan√≤ to be his wife and partner, she loyally endures her husband's coldness and abuse as they travel the Italian countryside performing together. Soon Zampan√≤ must deal with his jealousy and conflicted feelings about Gelsomina when she finds a kindred spirit in Il Matto, the carefree circus fool, and contemplates leaving Zampan√≤.</t>
  </si>
  <si>
    <t>Won 1 Oscar. Another 10 wins &amp; 4 nominations.</t>
  </si>
  <si>
    <t>37323.0</t>
  </si>
  <si>
    <t>69523.0</t>
  </si>
  <si>
    <t>https://www.rottentomatoes.com/m/la_strada</t>
  </si>
  <si>
    <t>tt0047528</t>
  </si>
  <si>
    <t>4 Months, 3 Weeks and 2 Days</t>
  </si>
  <si>
    <t>Cristian Mungiu</t>
  </si>
  <si>
    <t>Anamaria Marinca, Laura Vasiliu, Vlad Ivanov, Alexandru Potocean</t>
  </si>
  <si>
    <t>ro</t>
  </si>
  <si>
    <t>Two college roommates have 24 hours to make the ultimate choice as they finalize arrangements for a black market abortion.</t>
  </si>
  <si>
    <t>Nominated for 1 Golden Globe. Another 42 wins &amp; 45 nominations.</t>
  </si>
  <si>
    <t>IFC First Take</t>
  </si>
  <si>
    <t>34030.0</t>
  </si>
  <si>
    <t>48502.0</t>
  </si>
  <si>
    <t>https://www.rottentomatoes.com/m/4_months_3_weeks_and_2_days</t>
  </si>
  <si>
    <t>tt1032846</t>
  </si>
  <si>
    <t>85.33</t>
  </si>
  <si>
    <t>The Grand Budapest Hotel</t>
  </si>
  <si>
    <t>Wes Anderson</t>
  </si>
  <si>
    <t>Ralph Fiennes, F. Murray Abraham, Mathieu Amalric, Adrien Brody</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</si>
  <si>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</si>
  <si>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Won 4 Oscars. Another 114 wins &amp; 197 nominations.</t>
  </si>
  <si>
    <t>Fox Searchlight</t>
  </si>
  <si>
    <t>797026.0</t>
  </si>
  <si>
    <t>2192851.0</t>
  </si>
  <si>
    <t>hulu, itunes, amzvid, hbm</t>
  </si>
  <si>
    <t>https://www.rottentomatoes.com/m/the_grand_budapest_hotel</t>
  </si>
  <si>
    <t>tt2278388</t>
  </si>
  <si>
    <t>Finding Nemo</t>
  </si>
  <si>
    <t>Animation, Family</t>
  </si>
  <si>
    <t>Albert Brooks, Ellen DeGeneres, Alexander Gould, Willem Dafoe</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</si>
  <si>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</si>
  <si>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Won 1 Oscar. Another 46 wins &amp; 50 nominations.</t>
  </si>
  <si>
    <t>22787152.0</t>
  </si>
  <si>
    <t>1647744.0</t>
  </si>
  <si>
    <t>https://www.rottentomatoes.com/m/finding_nemo</t>
  </si>
  <si>
    <t>tt0266543</t>
  </si>
  <si>
    <t>Rebecca</t>
  </si>
  <si>
    <t>Mystery, Romance, Thriller, Drama</t>
  </si>
  <si>
    <t>Laurence Olivier, Joan Fontaine, George Sanders, Judith Anderson</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</si>
  <si>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</si>
  <si>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Won 2 Oscars. Another 3 wins &amp; 9 nominations.</t>
  </si>
  <si>
    <t>68440.0</t>
  </si>
  <si>
    <t>125899.0</t>
  </si>
  <si>
    <t>https://www.rottentomatoes.com/m/1017293-rebecca/</t>
  </si>
  <si>
    <t>tt0032976</t>
  </si>
  <si>
    <t>Princess Mononoke</t>
  </si>
  <si>
    <t>Adventure, Fantasy, Animation</t>
  </si>
  <si>
    <t>Yoji Matsuda, Yuriko Ishida, Yuko Tanaka, Kaoru Kobayashi</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</si>
  <si>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</si>
  <si>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13 wins &amp; 5 nominations.</t>
  </si>
  <si>
    <t>506502.0</t>
  </si>
  <si>
    <t>1073861.0</t>
  </si>
  <si>
    <t>https://www.rottentomatoes.com/m/princess_mononoke_1999</t>
  </si>
  <si>
    <t>tt0119698</t>
  </si>
  <si>
    <t>Django Unchained</t>
  </si>
  <si>
    <t>Jamie Foxx, Christoph Waltz, Leonardo DiCaprio, Kerry Washington</t>
  </si>
  <si>
    <t>The violent story of a German Bounty Hunter who frees a slave Django for his own business purposes. After learning that Django‚Äôs wife is still bound to slavery, they both endeavor to free her from her crazed and ruthless owner of a Mississippi plantation.</t>
  </si>
  <si>
    <t>Won 2 Oscars. Another 65 wins &amp; 105 nominations.</t>
  </si>
  <si>
    <t>The Weinstein Co.</t>
  </si>
  <si>
    <t>1025468.0</t>
  </si>
  <si>
    <t>2213921.0</t>
  </si>
  <si>
    <t>starz, itunes, amzvid</t>
  </si>
  <si>
    <t>https://www.rottentomatoes.com/m/django_unchained_2012</t>
  </si>
  <si>
    <t>tt1853728</t>
  </si>
  <si>
    <t>Strangers on a Train</t>
  </si>
  <si>
    <t>Farley Granger, Ruth Roman, Robert Walker, Leo G. Carroll</t>
  </si>
  <si>
    <t>Having met on a train, a smooth-talking psychotic socialite shares his theory on how two complete strangers can get away with murder to an amateur tennis player ‚Äî a theory he plans to test out.</t>
  </si>
  <si>
    <t>Nominated for 1 Oscar. Another 1 win &amp; 1 nomination.</t>
  </si>
  <si>
    <t>Warner Home Video</t>
  </si>
  <si>
    <t>68681.0</t>
  </si>
  <si>
    <t>134227.0</t>
  </si>
  <si>
    <t>https://www.rottentomatoes.com/m/strangers_on_a_train/</t>
  </si>
  <si>
    <t>tt0044079</t>
  </si>
  <si>
    <t>The Manchurian Candidate</t>
  </si>
  <si>
    <t>Thriller, Drama</t>
  </si>
  <si>
    <t>John Frankenheimer</t>
  </si>
  <si>
    <t>Frank Sinatra, Laurence Harvey, Angela Lansbury, Janet Leigh</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</si>
  <si>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</si>
  <si>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Nominated for 2 Oscars. Another 7 wins &amp; 4 nominations.</t>
  </si>
  <si>
    <t>MGM/UA Classics</t>
  </si>
  <si>
    <t>36997.0</t>
  </si>
  <si>
    <t>48018.0</t>
  </si>
  <si>
    <t>https://www.rottentomatoes.com/m/1013227-manchurian_candidate</t>
  </si>
  <si>
    <t>tt0056218</t>
  </si>
  <si>
    <t>Howl's Moving Castle</t>
  </si>
  <si>
    <t>Fantasy, Animation, Adventure</t>
  </si>
  <si>
    <t>Chieko Baisho, Takuya Kimura, Akihiro Miwa, Tatsuya Gash√ªin</t>
  </si>
  <si>
    <t>Sophie, a young milliner, is turned into an elderly woman by a witch who enters her shop and curses her. She encounters a wizard named Howl and gets caught up in his resistance to fighting for the king.</t>
  </si>
  <si>
    <t>Nominated for 1 Oscar. Another 16 wins &amp; 15 nominations.</t>
  </si>
  <si>
    <t>578280.0</t>
  </si>
  <si>
    <t>1640560.0</t>
  </si>
  <si>
    <t>https://www.rottentomatoes.com/m/howls_moving_castle</t>
  </si>
  <si>
    <t>tt0347149</t>
  </si>
  <si>
    <t>Trainspotting</t>
  </si>
  <si>
    <t>Danny Boyle</t>
  </si>
  <si>
    <t>Ewan McGregor, Ewen Bremner, Jonny Lee Miller, Kevin McKidd</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</si>
  <si>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</si>
  <si>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Nominated for 1 Oscar. Another 22 wins &amp; 22 nominations.</t>
  </si>
  <si>
    <t>500240.0</t>
  </si>
  <si>
    <t>872482.0</t>
  </si>
  <si>
    <t>https://www.rottentomatoes.com/m/trainspotting/</t>
  </si>
  <si>
    <t>tt0117951</t>
  </si>
  <si>
    <t>On the Waterfront</t>
  </si>
  <si>
    <t>Crime, Drama, Romance</t>
  </si>
  <si>
    <t>Elia Kazan</t>
  </si>
  <si>
    <t>Marlon Brando, Karl Malden, Lee J. Cobb, Eva Marie Saint</t>
  </si>
  <si>
    <t>Terry Malloy is a kindhearted dockworker, and former boxer, who is tricked by his corrupt bosses into leading his friend to death. After falling in love, he tries to leave the waterfront and expose his employers.</t>
  </si>
  <si>
    <t>Won 8 Oscars. Another 23 wins &amp; 7 nominations.</t>
  </si>
  <si>
    <t>73211.0</t>
  </si>
  <si>
    <t>114779.0</t>
  </si>
  <si>
    <t>72.0</t>
  </si>
  <si>
    <t>https://www.rottentomatoes.com/m/on_the_waterfront</t>
  </si>
  <si>
    <t>tt0047296</t>
  </si>
  <si>
    <t>85.17</t>
  </si>
  <si>
    <t>Annie Hall</t>
  </si>
  <si>
    <t>Woody Allen</t>
  </si>
  <si>
    <t>Woody Allen, Diane Keaton, Tony Roberts, Carol Kane</t>
  </si>
  <si>
    <t>New York comedian Alvy Singer falls in love with the ditsy Annie Hall.</t>
  </si>
  <si>
    <t>Won 4 Oscars. Another 27 wins &amp; 7 nominations.</t>
  </si>
  <si>
    <t>192804.0</t>
  </si>
  <si>
    <t>270384.0</t>
  </si>
  <si>
    <t>https://www.rottentomatoes.com/m/annie_hall/</t>
  </si>
  <si>
    <t>tt0075686</t>
  </si>
  <si>
    <t>The Tale of The Princess Kaguya</t>
  </si>
  <si>
    <t>Animation, Drama, Fantasy</t>
  </si>
  <si>
    <t>Isao Takahata</t>
  </si>
  <si>
    <t>Aki Asakura, Takeo Chii, Nobuko Miyamoto, Kengo Kora</t>
  </si>
  <si>
    <t>Found inside a shining stalk of bamboo by an old bamboo cutter and his wife, a tiny girl grows rapidly into an exquisite young lady. The mysterious young princess enthrals all who encounter her. But, ultimately, she must confront her fate.</t>
  </si>
  <si>
    <t>Nominated for 1 Oscar. Another 11 wins &amp; 30 nominations.</t>
  </si>
  <si>
    <t>GKIDS</t>
  </si>
  <si>
    <t>79846.0</t>
  </si>
  <si>
    <t>211180.0</t>
  </si>
  <si>
    <t>amzvid, itunes, hbm</t>
  </si>
  <si>
    <t>https://www.rottentomatoes.com/m/the_tale_of_the_princess_kaguya</t>
  </si>
  <si>
    <t>tt2576852</t>
  </si>
  <si>
    <t>Dog Day Afternoon</t>
  </si>
  <si>
    <t>Al Pacino, John Cazale, Charles Durning, Chris Sarandon</t>
  </si>
  <si>
    <t>Based on the true story of would-be Brooklyn bank robbers John Wojtowicz and Salvatore Naturile. Sonny and Sal attempt a bank heist which quickly turns sour and escalates into a hostage situation and stand-off with the police. As Sonny's motives for the robbery are slowly revealed and things become more complicated, the heist turns into a media circus.</t>
  </si>
  <si>
    <t>WARNER BROTHERS PICTURES</t>
  </si>
  <si>
    <t>187550.0</t>
  </si>
  <si>
    <t>341549.0</t>
  </si>
  <si>
    <t>https://www.rottentomatoes.com/m/dog_day_afternoon</t>
  </si>
  <si>
    <t>tt0072890</t>
  </si>
  <si>
    <t>Marriage Story</t>
  </si>
  <si>
    <t>Noah Baumbach</t>
  </si>
  <si>
    <t>Adam Driver, Scarlett Johansson, Laura Dern, Alan Alda</t>
  </si>
  <si>
    <t>A compassionate divorce-drama, involving an arduous and prolonged break up between an actress and a stage director which leads to more difficulties due to their shared child.</t>
  </si>
  <si>
    <t>391797.0</t>
  </si>
  <si>
    <t>1162129.0</t>
  </si>
  <si>
    <t>https://www.rottentomatoes.com/m/marriage_story_2019</t>
  </si>
  <si>
    <t>tt7653254</t>
  </si>
  <si>
    <t>Million Dollar Baby</t>
  </si>
  <si>
    <t>Clint Eastwood</t>
  </si>
  <si>
    <t>Clint Eastwood, Hilary Swank, Morgan Freeman, Jay Baruchel</t>
  </si>
  <si>
    <t>Despondent over a painful estrangement from his daughter, trainer Frankie Dunn isn't prepared for boxer Maggie Fitzgerald to enter his life. But Maggie's determined to go pro and to convince Dunn and his cohort to help her.</t>
  </si>
  <si>
    <t>Won 4 Oscars. Another 79 wins &amp; 49 nominations.</t>
  </si>
  <si>
    <t>382716.0</t>
  </si>
  <si>
    <t>337065.0</t>
  </si>
  <si>
    <t>https://www.rottentomatoes.com/m/million_dollar_baby</t>
  </si>
  <si>
    <t>tt0405159</t>
  </si>
  <si>
    <t>The Maltese Falcon</t>
  </si>
  <si>
    <t>Mystery, Crime, Thriller</t>
  </si>
  <si>
    <t>John Huston</t>
  </si>
  <si>
    <t>Humphrey Bogart, Mary Astor, Gladys George, Peter Lorre</t>
  </si>
  <si>
    <t>A private detective takes on a case that involves him with three eccentric criminals, a beautiful liar, and their quest for a priceless statuette.</t>
  </si>
  <si>
    <t>Nominated for 3 Oscars. Another 2 wins.</t>
  </si>
  <si>
    <t>79699.0</t>
  </si>
  <si>
    <t>122938.0</t>
  </si>
  <si>
    <t>https://www.rottentomatoes.com/m/1013139-maltese_falcon</t>
  </si>
  <si>
    <t>tt0033870</t>
  </si>
  <si>
    <t>13th</t>
  </si>
  <si>
    <t>Ava DuVernay</t>
  </si>
  <si>
    <t>Jelani Cobb, Angela Davis, Henry Louis Gates, Jr., Michelle Alexander</t>
  </si>
  <si>
    <t>A very well-informed documentary revealing the racial inequalities found withing the US prison system. As the title suggests, the 13th Amendment, was the formal abolishment of slavery as a result of Lincoln‚Äôs Emancipation Proclamation. In 13th Filmmaker Ava DuVernay takes a look at how the idea of slavery has been recast inside the modern prison system.</t>
  </si>
  <si>
    <t>38816.0</t>
  </si>
  <si>
    <t>109670.0</t>
  </si>
  <si>
    <t>https://www.rottentomatoes.com/m/13th</t>
  </si>
  <si>
    <t>tt5895028</t>
  </si>
  <si>
    <t>The King's Speech</t>
  </si>
  <si>
    <t>Tom Hooper</t>
  </si>
  <si>
    <t>Colin Firth, Geoffrey Rush, Helena Bonham Carter, Guy Pearce</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</si>
  <si>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</si>
  <si>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Won 4 Oscars. Another 115 wins &amp; 161 nominations.</t>
  </si>
  <si>
    <t>The Weinstein Company</t>
  </si>
  <si>
    <t>226990.0</t>
  </si>
  <si>
    <t>391088.0</t>
  </si>
  <si>
    <t>https://www.rottentomatoes.com/m/the_kings_speech%2F</t>
  </si>
  <si>
    <t>tt1504320</t>
  </si>
  <si>
    <t>Downfall</t>
  </si>
  <si>
    <t>Oliver Hirschbiegel</t>
  </si>
  <si>
    <t>Bruno Ganz, Alexandra Maria Lara, Corinna Harfouch, Ulrich Matthes</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</si>
  <si>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</si>
  <si>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87605.0</t>
  </si>
  <si>
    <t>121453.0</t>
  </si>
  <si>
    <t>https://www.rottentomatoes.com/m/downfall</t>
  </si>
  <si>
    <t>tt0363163</t>
  </si>
  <si>
    <t>The Diving Bell and the Butterfly</t>
  </si>
  <si>
    <t>Julian Schnabel</t>
  </si>
  <si>
    <t>Mathieu Amalric, Emmanuelle Seigner, Marie-Jos√©e Croze, Anne Consigny</t>
  </si>
  <si>
    <t>The true story of 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</si>
  <si>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Nominated for 4 Oscars. Another 64 wins &amp; 86 nominations.</t>
  </si>
  <si>
    <t>115668.0</t>
  </si>
  <si>
    <t>46838.0</t>
  </si>
  <si>
    <t>https://www.rottentomatoes.com/m/the_diving_bell_and_the_butterfly_2007</t>
  </si>
  <si>
    <t>tt0401383</t>
  </si>
  <si>
    <t>Coco</t>
  </si>
  <si>
    <t>Family, Animation, Music, Adventure</t>
  </si>
  <si>
    <t>Anthony Gonzalez, Gael Garc√≠a Bernal, Benjamin Bratt, Alanna Ubach</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</si>
  <si>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</si>
  <si>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693918.0</t>
  </si>
  <si>
    <t>2021496.0</t>
  </si>
  <si>
    <t>https://www.rottentomatoes.com/m/coco_2017</t>
  </si>
  <si>
    <t>tt2380307</t>
  </si>
  <si>
    <t>Amour</t>
  </si>
  <si>
    <t>Michael Haneke</t>
  </si>
  <si>
    <t>Jean-Louis Trintignant, Emmanuelle Riva, Isabelle Huppert, Alexandre Tharaud</t>
  </si>
  <si>
    <t>Georges and Anne are in their eighties. They are cultivated, retired music teachers. Their daughter, who is also a musician, lives abroad with her family. One day, Anne has a stroke, and the couple's bond of love is severely tested.</t>
  </si>
  <si>
    <t>53864.0</t>
  </si>
  <si>
    <t>119569.0</t>
  </si>
  <si>
    <t>https://www.rottentomatoes.com/m/amour_2013/</t>
  </si>
  <si>
    <t>tt1602620</t>
  </si>
  <si>
    <t>84.83</t>
  </si>
  <si>
    <t>The Straight Story</t>
  </si>
  <si>
    <t>David Lynch</t>
  </si>
  <si>
    <t>Richard Farnsworth, Sissy Spacek, Jane Galloway Heitz, Joseph A. Carpenter</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</si>
  <si>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</si>
  <si>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Nominated for 1 Oscar. Another 18 wins &amp; 30 nominations.</t>
  </si>
  <si>
    <t>Buena Vista Pictures</t>
  </si>
  <si>
    <t>59890.0</t>
  </si>
  <si>
    <t>116409.0</t>
  </si>
  <si>
    <t>https://www.rottentomatoes.com/m/straight_story</t>
  </si>
  <si>
    <t>tt0166896</t>
  </si>
  <si>
    <t>The French Connection</t>
  </si>
  <si>
    <t>Action, Crime, Thriller</t>
  </si>
  <si>
    <t>William Friedkin</t>
  </si>
  <si>
    <t>Gene Hackman, Roy Scheider, Fernando Rey, Tony Lo Bianco</t>
  </si>
  <si>
    <t>Tough narcotics detective 'Popeye' Doyle is in hot pursuit of a suave French drug dealer who may be the key to a huge heroin-smuggling operation.</t>
  </si>
  <si>
    <t>Won 5 Oscars. Another 17 wins &amp; 10 nominations.</t>
  </si>
  <si>
    <t>81276.0</t>
  </si>
  <si>
    <t>154622.0</t>
  </si>
  <si>
    <t>https://www.rottentomatoes.com/m/french_connection/</t>
  </si>
  <si>
    <t>tt0067116</t>
  </si>
  <si>
    <t>Young Frankenstein</t>
  </si>
  <si>
    <t>Comedy</t>
  </si>
  <si>
    <t>Mel Brooks</t>
  </si>
  <si>
    <t>Gene Wilder, Teri Garr, Marty Feldman, Peter Boyle</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</si>
  <si>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</si>
  <si>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Nominated for 2 Oscars. Another 9 wins &amp; 5 nominations.</t>
  </si>
  <si>
    <t>198530.0</t>
  </si>
  <si>
    <t>176284.0</t>
  </si>
  <si>
    <t>https://www.rottentomatoes.com/m/young_frankenstein</t>
  </si>
  <si>
    <t>tt0072431</t>
  </si>
  <si>
    <t>A Hard Day's Night</t>
  </si>
  <si>
    <t>Comedy, Music</t>
  </si>
  <si>
    <t>Richard Lester</t>
  </si>
  <si>
    <t>John Lennon, Paul McCartney, George Harrison, Ringo Starr</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</si>
  <si>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</si>
  <si>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Nominated for 2 Oscars. Another 1 win &amp; 5 nominations.</t>
  </si>
  <si>
    <t>Miramax</t>
  </si>
  <si>
    <t>62888.0</t>
  </si>
  <si>
    <t>87602.0</t>
  </si>
  <si>
    <t>https://www.rottentomatoes.com/m/beatles_a_hard_days_night</t>
  </si>
  <si>
    <t>tt0058182</t>
  </si>
  <si>
    <t>The Irishman</t>
  </si>
  <si>
    <t>Crime, Drama, History</t>
  </si>
  <si>
    <t>Robert De Niro, Al Pacino, Joe Pesci, Harvey Keitel</t>
  </si>
  <si>
    <t>Set in the 1950s, a war veteran Frank Sheeran becomes involved with a Pennsylvania crime family headed by Russell Bufalino. As Frank raises through the gangs ranks to become a trusted hitman, he is introduced to Jimmy Hoffa, a union leader with connections to the underground world, with whom he develops a close and lasting friendship.</t>
  </si>
  <si>
    <t>255684.0</t>
  </si>
  <si>
    <t>745713.0</t>
  </si>
  <si>
    <t>https://www.rottentomatoes.com/m/the_irishman_2019</t>
  </si>
  <si>
    <t>tt1302006</t>
  </si>
  <si>
    <t>Free Solo</t>
  </si>
  <si>
    <t>Documentary, Adventure</t>
  </si>
  <si>
    <t>Jimmy Chin, Elizabeth Chai Vasarhelyi</t>
  </si>
  <si>
    <t>Alex Honnold, Tommy Caldwell, Jimmy Chin, Sanni McCandless</t>
  </si>
  <si>
    <t>Follow Alex Honnold as he attempts to become the first person to ever free solo climb Yosemite's 3,000 foot high El Capitan wall. With no ropes or safety gear, this would arguably be the greatest feat in rock climbing history.</t>
  </si>
  <si>
    <t>61687.0</t>
  </si>
  <si>
    <t>178659.0</t>
  </si>
  <si>
    <t>hulu, disney, netflix, itunes, amzvid</t>
  </si>
  <si>
    <t>https://www.rottentomatoes.com/m/free_solo</t>
  </si>
  <si>
    <t>tt7775622</t>
  </si>
  <si>
    <t>La La Land</t>
  </si>
  <si>
    <t>Comedy, Drama, Romance, Music</t>
  </si>
  <si>
    <t>Ryan Gosling, Emma Stone, John Legend, Rosemarie DeWitt</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</si>
  <si>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</si>
  <si>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1113199.0</t>
  </si>
  <si>
    <t>3192797.0</t>
  </si>
  <si>
    <t>https://www.rottentomatoes.com/m/la_la_land</t>
  </si>
  <si>
    <t>tt3783958</t>
  </si>
  <si>
    <t>Night of the Living Dead</t>
  </si>
  <si>
    <t>Horror, Thriller</t>
  </si>
  <si>
    <t>George A. Romero</t>
  </si>
  <si>
    <t>Judith O'Dea, Duane Jones, Marilyn Eastman, Karl Hardman</t>
  </si>
  <si>
    <t>A group of strangers trapped in a farmhouse find themselves fending off a horde of recently dead, flesh-eating ghouls.</t>
  </si>
  <si>
    <t>Continental Distributing Inc.</t>
  </si>
  <si>
    <t>172279.0</t>
  </si>
  <si>
    <t>254945.0</t>
  </si>
  <si>
    <t>peacock, netflix, starz, itunes, amzvid, hbm</t>
  </si>
  <si>
    <t>https://www.rottentomatoes.com/m/1015052_night_of_the_living_dead</t>
  </si>
  <si>
    <t>tt0063350</t>
  </si>
  <si>
    <t>Unforgiven</t>
  </si>
  <si>
    <t>Clint Eastwood, Gene Hackman, Morgan Freeman, Jaimz Woolvett</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</si>
  <si>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</si>
  <si>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Won 4 Oscars. Another 36 wins &amp; 27 nominations.</t>
  </si>
  <si>
    <t>159321.0</t>
  </si>
  <si>
    <t>231329.0</t>
  </si>
  <si>
    <t>itunes, hbm</t>
  </si>
  <si>
    <t>https://www.rottentomatoes.com/m/1041911_unforgiven?</t>
  </si>
  <si>
    <t>tt0105695</t>
  </si>
  <si>
    <t>The Terminator</t>
  </si>
  <si>
    <t>Arnold Schwarzenegger, Michael Biehn, Linda Hamilton, Paul Winfield</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</si>
  <si>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</si>
  <si>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5 wins &amp; 6 nominations.</t>
  </si>
  <si>
    <t>747733.0</t>
  </si>
  <si>
    <t>686692.0</t>
  </si>
  <si>
    <t>https://www.rottentomatoes.com/m/terminator</t>
  </si>
  <si>
    <t>tt0088247</t>
  </si>
  <si>
    <t>84.67</t>
  </si>
  <si>
    <t>The Conversation</t>
  </si>
  <si>
    <t>Gene Hackman, John Cazale, Allen Garfield, Frederic Forrest</t>
  </si>
  <si>
    <t>A paranoid, secretive surveillance expert has a crisis of conscience when he suspects that the couple he is spying on will be murdered.</t>
  </si>
  <si>
    <t>Nominated for 3 Oscars. Another 13 wins &amp; 13 nominations.</t>
  </si>
  <si>
    <t>88450.0</t>
  </si>
  <si>
    <t>194526.0</t>
  </si>
  <si>
    <t>https://www.rottentomatoes.com/m/conversation/</t>
  </si>
  <si>
    <t>tt0071360</t>
  </si>
  <si>
    <t>The Social Network</t>
  </si>
  <si>
    <t>David Fincher</t>
  </si>
  <si>
    <t>Jesse Eisenberg, Andrew Garfield, Armie Hammer, Josh Pence</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</si>
  <si>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</si>
  <si>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Won 3 Oscars. Another 152 wins &amp; 151 nominations.</t>
  </si>
  <si>
    <t>796286.0</t>
  </si>
  <si>
    <t>1978430.0</t>
  </si>
  <si>
    <t>netflix, prime, itunes, amzvid</t>
  </si>
  <si>
    <t>https://www.rottentomatoes.com/m/the_social_network</t>
  </si>
  <si>
    <t>tt1285016</t>
  </si>
  <si>
    <t>Little Women</t>
  </si>
  <si>
    <t>Greta Gerwig</t>
  </si>
  <si>
    <t>Saoirse Ronan, Emma Watson, Florence Pugh, Eliza Scanlen</t>
  </si>
  <si>
    <t>Four sisters come of age in America in the aftermath of the Civil War.</t>
  </si>
  <si>
    <t>685996.0</t>
  </si>
  <si>
    <t>2004290.0</t>
  </si>
  <si>
    <t>https://www.rottentomatoes.com/m/little_women_2019</t>
  </si>
  <si>
    <t>tt3281548</t>
  </si>
  <si>
    <t>Before Sunset</t>
  </si>
  <si>
    <t>Richard Linklater</t>
  </si>
  <si>
    <t>Ethan Hawke, Julie Delpy, Vernon Dobtcheff, Louise Lemoine Torr√®s</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</si>
  <si>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</si>
  <si>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Nominated for 1 Oscar. Another 8 wins &amp; 21 nominations.</t>
  </si>
  <si>
    <t>Warner Independent Pictures</t>
  </si>
  <si>
    <t>251191.0</t>
  </si>
  <si>
    <t>610745.0</t>
  </si>
  <si>
    <t>https://www.rottentomatoes.com/m/before_sunset/</t>
  </si>
  <si>
    <t>tt0381681</t>
  </si>
  <si>
    <t>Spring, Summer, Fall, Winter... and Spring</t>
  </si>
  <si>
    <t>Kim Ki-duk</t>
  </si>
  <si>
    <t>Oh Young-soo, Kim Ki-duk, Kim Young-min, Seo Jae-kyeong</t>
  </si>
  <si>
    <t>An isolated lake, where an old monk lives in a small floating temple. The monk has a young boy living with him, learning to become a monk. We watch as seasons and years pass by.</t>
  </si>
  <si>
    <t>12 wins &amp; 7 nominations.</t>
  </si>
  <si>
    <t>37196.0</t>
  </si>
  <si>
    <t>54075.0</t>
  </si>
  <si>
    <t>https://www.rottentomatoes.com/m/spring_summer_fall_winter_and_spring</t>
  </si>
  <si>
    <t>tt0374546</t>
  </si>
  <si>
    <t>The Iron Giant</t>
  </si>
  <si>
    <t>Family, Animation, Science Fiction, Adventure</t>
  </si>
  <si>
    <t>Vin Diesel, Eli Marienthal, Jennifer Aniston, Harry Connick Jr.</t>
  </si>
  <si>
    <t>In the small town of Rockwell, Maine in October 1957, a giant metal machine befriends a nine-year-old boy and ultimately finds its humanity by unselfishly saving people from their own fears and prejudices.</t>
  </si>
  <si>
    <t>21 wins &amp; 16 nominations.</t>
  </si>
  <si>
    <t>301689.0</t>
  </si>
  <si>
    <t>494409.0</t>
  </si>
  <si>
    <t>tt0129167</t>
  </si>
  <si>
    <t>Incendies</t>
  </si>
  <si>
    <t>Drama, War, Mystery</t>
  </si>
  <si>
    <t>Lubna Azabal, M√©lissa D√©sormeaux-Poulin, Maxim Gaudette, R√©my Girard</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</si>
  <si>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</si>
  <si>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Nominated for 1 Oscar. Another 41 wins &amp; 12 nominations.</t>
  </si>
  <si>
    <t>125557.0</t>
  </si>
  <si>
    <t>340239.0</t>
  </si>
  <si>
    <t>mubi, itunes, amzvid</t>
  </si>
  <si>
    <t>https://www.rottentomatoes.com/m/incendies</t>
  </si>
  <si>
    <t>tt1255953</t>
  </si>
  <si>
    <t>Barry Lyndon</t>
  </si>
  <si>
    <t>Drama, Romance, War, History</t>
  </si>
  <si>
    <t>Ryan O'Neal, Marisa Berenson, Patrick Magee, Hardy Kr√ºger</t>
  </si>
  <si>
    <t>An Irish rogue uses his cunning and wit to work his way up the social classes of 18th century England, transforming himself from the humble Redmond Barry into the noble Barry Lyndon.</t>
  </si>
  <si>
    <t>Won 4 Oscars. Another 13 wins &amp; 13 nominations.</t>
  </si>
  <si>
    <t>119394.0</t>
  </si>
  <si>
    <t>267520.0</t>
  </si>
  <si>
    <t>https://www.rottentomatoes.com/m/barry_lyndon</t>
  </si>
  <si>
    <t>tt0072684</t>
  </si>
  <si>
    <t>The Quiet Girl</t>
  </si>
  <si>
    <t>Colm Bair√©ad</t>
  </si>
  <si>
    <t>Catherine Clinch, Carrie Crowley, Andrew Bennett, Michael Patric</t>
  </si>
  <si>
    <t>ga</t>
  </si>
  <si>
    <t>A quiet, neglected girl is sent away from her dysfunctional family to live with relatives for the summer. She blossoms in their care, but in this house where there are meant to be no secrets, she discovers one.</t>
  </si>
  <si>
    <t>25673.0</t>
  </si>
  <si>
    <t>76009.0</t>
  </si>
  <si>
    <t>https://www.rottentomatoes.com/m/the_quiet_girl</t>
  </si>
  <si>
    <t>tt15109082</t>
  </si>
  <si>
    <t>84.6</t>
  </si>
  <si>
    <t>All of Us Strangers</t>
  </si>
  <si>
    <t>Romance, Drama, Fantasy</t>
  </si>
  <si>
    <t>Andrew Haigh</t>
  </si>
  <si>
    <t>Andrew Scott, Paul Mescal, Carter John Grout, Jamie Bell</t>
  </si>
  <si>
    <t>One night in his near-empty tower block in contemporary London, Adam has a chance encounter with a mysterious neighbor Harry, which punctures the rhythm of his everyday life.</t>
  </si>
  <si>
    <t>192826.0</t>
  </si>
  <si>
    <t>576310.0</t>
  </si>
  <si>
    <t>https://www.rottentomatoes.com/m/all_of_us_strangers</t>
  </si>
  <si>
    <t>tt21192142</t>
  </si>
  <si>
    <t>Invasion of the Body Snatchers</t>
  </si>
  <si>
    <t>Science Fiction, Horror, Thriller</t>
  </si>
  <si>
    <t>Don Siegel</t>
  </si>
  <si>
    <t>Kevin McCarthy, Dana Wynter, King Donovan, Carolyn Jones</t>
  </si>
  <si>
    <t>A small-town doctor learns that the population of his community is being replaced by emotionless alien duplicates.</t>
  </si>
  <si>
    <t>Republic Pictures Home Video</t>
  </si>
  <si>
    <t>34972.0</t>
  </si>
  <si>
    <t>66272.0</t>
  </si>
  <si>
    <t>prime, itunes</t>
  </si>
  <si>
    <t>https://www.rottentomatoes.com/m/1010678_invasion_of_the_body_snatchers</t>
  </si>
  <si>
    <t>tt0049366</t>
  </si>
  <si>
    <t>84.5</t>
  </si>
  <si>
    <t>Toy Story 2</t>
  </si>
  <si>
    <t>Animation, Comedy, Family</t>
  </si>
  <si>
    <t>Tom Hanks, Tim Allen, Joan Cusack, Kelsey Grammer</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</si>
  <si>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</si>
  <si>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Nominated for 1 Oscar. Another 21 wins &amp; 24 nominations.</t>
  </si>
  <si>
    <t>1029005.0</t>
  </si>
  <si>
    <t>1083467.0</t>
  </si>
  <si>
    <t>https://www.rottentomatoes.com/m/toy_story_2</t>
  </si>
  <si>
    <t>tt0120363</t>
  </si>
  <si>
    <t>Jaws</t>
  </si>
  <si>
    <t>Horror, Thriller, Adventure</t>
  </si>
  <si>
    <t>Roy Scheider, Robert Shaw, Richard Dreyfuss, Lorraine Gary</t>
  </si>
  <si>
    <t>When the seaside community of Amity finds itself under attack by a dangerous great white shark, the town's chief of police, a young marine biologist, and a grizzled hunter embark on a desperate quest to destroy the beast before it strikes again.</t>
  </si>
  <si>
    <t>Won 3 Oscars. Another 10 wins &amp; 14 nominations.</t>
  </si>
  <si>
    <t>1006664.0</t>
  </si>
  <si>
    <t>1126448.0</t>
  </si>
  <si>
    <t>https://www.rottentomatoes.com/m/jaws</t>
  </si>
  <si>
    <t>tt0073195</t>
  </si>
  <si>
    <t>Almost Famous</t>
  </si>
  <si>
    <t>Cameron Crowe</t>
  </si>
  <si>
    <t>Billy Crudup, Frances McDormand, Kate Hudson, Jason Lee</t>
  </si>
  <si>
    <t>In 1973, 15-year-old William Miller's unabashed love of music and aspiration to become a rock journalist lands him an assignment from Rolling Stone magazine to interview and tour with the up-and-coming band, Stillwater.</t>
  </si>
  <si>
    <t>Won 1 Oscar. Another 50 wins &amp; 102 nominations.</t>
  </si>
  <si>
    <t>DreamWorks SKG</t>
  </si>
  <si>
    <t>382637.0</t>
  </si>
  <si>
    <t>496969.0</t>
  </si>
  <si>
    <t>https://www.rottentomatoes.com/m/almost_famous</t>
  </si>
  <si>
    <t>tt0181875</t>
  </si>
  <si>
    <t>Song of the Sea</t>
  </si>
  <si>
    <t>Family, Animation, Fantasy</t>
  </si>
  <si>
    <t>Tomm Moore</t>
  </si>
  <si>
    <t>David Rawle, Brendan Gleeson, Lisa Hannigan, Fionnula Flanagan</t>
  </si>
  <si>
    <t>The story of the last Seal Child‚Äôs journey home. After their mother‚Äôs disappearance, Ben and Saoirse are sent to live with Granny in the city. When they resolve to return to their home by the sea, their journey becomes a race against time as they are drawn into a world Ben knows only from his mother‚Äôs folktales. But this is no bedtime story; these fairy folk have been in our world far too long. It soon becomes clear to Ben that Saoirse is the key to their survival.</t>
  </si>
  <si>
    <t>Nominated for 1 Oscar. Another 11 wins &amp; 16 nominations.</t>
  </si>
  <si>
    <t>42155.0</t>
  </si>
  <si>
    <t>101315.0</t>
  </si>
  <si>
    <t>https://www.rottentomatoes.com/m/song_of_the_sea_2014</t>
  </si>
  <si>
    <t>tt1865505</t>
  </si>
  <si>
    <t>Before Sunrise</t>
  </si>
  <si>
    <t>Ethan Hawke, Julie Delpy, Andrea Eckert, Hanno P√∂schl</t>
  </si>
  <si>
    <t>A young man and woman meet on a train in Europe, and wind up spending one evening together in Vienna. Unfortunately, both know that this will probably be their only night together.</t>
  </si>
  <si>
    <t>1 win &amp; 7 nominations.</t>
  </si>
  <si>
    <t>370547.0</t>
  </si>
  <si>
    <t>963660.0</t>
  </si>
  <si>
    <t>https://www.rottentomatoes.com/m/before_sunrise</t>
  </si>
  <si>
    <t>tt0112471</t>
  </si>
  <si>
    <t>Blade Runner</t>
  </si>
  <si>
    <t>Science Fiction, Drama, Thriller</t>
  </si>
  <si>
    <t>Harrison Ford, Rutger Hauer, Sean Young, Edward James Olmos</t>
  </si>
  <si>
    <t>In the smog-choked dystopian Los Angeles of 2019, blade runner Rick Deckard is called out of retirement to terminate a quartet of replicants who have escaped to Earth seeking their creator for a way to extend their short life spans.</t>
  </si>
  <si>
    <t>Nominated for 2 Oscars. Another 11 wins &amp; 15 nominations.</t>
  </si>
  <si>
    <t>587241.0</t>
  </si>
  <si>
    <t>1083638.0</t>
  </si>
  <si>
    <t>https://www.rottentomatoes.com/m/blade_runner</t>
  </si>
  <si>
    <t>tt0083658</t>
  </si>
  <si>
    <t>Boyhood</t>
  </si>
  <si>
    <t>Ellar Coltrane, Patricia Arquette, Ethan Hawke, Lorelei Linklater</t>
  </si>
  <si>
    <t>The film tells a story of a divorced couple trying to raise their young son. The story follows the boy for twelve years, from first grade at age 6 through 12th grade at age 17-18, and examines his relationship with his parents as he grows.</t>
  </si>
  <si>
    <t>Won 1 Oscar. Another 163 wins &amp; 189 nominations.</t>
  </si>
  <si>
    <t>234140.0</t>
  </si>
  <si>
    <t>522064.0</t>
  </si>
  <si>
    <t>mubi, hulu, netflix, itunes, amzvid</t>
  </si>
  <si>
    <t>https://www.rottentomatoes.com/m/boyhood</t>
  </si>
  <si>
    <t>tt1065073</t>
  </si>
  <si>
    <t>Moonlight</t>
  </si>
  <si>
    <t>Barry Jenkins</t>
  </si>
  <si>
    <t>Trevante Rhodes, Andr√© Holland, Janelle Mon√°e, Ashton Sanders</t>
  </si>
  <si>
    <t>The tender, heartbreaking story of a young man‚Äôs struggle to find himself, told across three defining chapters in his life as he experiences the ecstasy, pain, and beauty of falling in love, while grappling with his own sexuality.</t>
  </si>
  <si>
    <t>74.0</t>
  </si>
  <si>
    <t>402939.0</t>
  </si>
  <si>
    <t>1115696.0</t>
  </si>
  <si>
    <t>https://www.rottentomatoes.com/m/moonlight_2016</t>
  </si>
  <si>
    <t>tt4975722</t>
  </si>
  <si>
    <t>84.33</t>
  </si>
  <si>
    <t>Room</t>
  </si>
  <si>
    <t>Lenny Abrahamson</t>
  </si>
  <si>
    <t>Brie Larson, Jacob Tremblay, Joan Allen, Sean Bridgers</t>
  </si>
  <si>
    <t>Held captive for 7 years in an enclosed space, a woman and her young son finally gain their freedom, allowing the boy to experience the outside world for the first time.</t>
  </si>
  <si>
    <t>262276.0</t>
  </si>
  <si>
    <t>686364.0</t>
  </si>
  <si>
    <t>https://www.rottentomatoes.com/m/room_2015</t>
  </si>
  <si>
    <t>tt3170832</t>
  </si>
  <si>
    <t>The Big Sleep</t>
  </si>
  <si>
    <t>Howard Hawks</t>
  </si>
  <si>
    <t>Humphrey Bogart, Lauren Bacall, John Ridgely, Martha Vickers</t>
  </si>
  <si>
    <t>Private Investigator Philip Marlowe is hired by wealthy General Sternwood regarding a matter involving his youngest daughter Carmen. Before the complex case is over, Marlowe sees murder, blackmail, deception, and what might be love.</t>
  </si>
  <si>
    <t>45927.0</t>
  </si>
  <si>
    <t>70518.0</t>
  </si>
  <si>
    <t>https://www.rottentomatoes.com/m/1002352-big_sleep</t>
  </si>
  <si>
    <t>tt0038355</t>
  </si>
  <si>
    <t>His Girl Friday</t>
  </si>
  <si>
    <t>Cary Grant, Rosalind Russell, Ralph Bellamy, Gene Lockhart</t>
  </si>
  <si>
    <t>Walter Burns is an irresistibly conniving newspaper publisher desperate to woo back his paper‚Äôs star reporter, who also happens to be his estranged wife. She‚Äôs threatening to quit and settle down with a new beau, but, as Walter knows, she has a weakness: she can‚Äôt resist a juicy scoop.</t>
  </si>
  <si>
    <t>47826.0</t>
  </si>
  <si>
    <t>94657.0</t>
  </si>
  <si>
    <t>https://www.rottentomatoes.com/m/his_girl_friday</t>
  </si>
  <si>
    <t>tt0032599</t>
  </si>
  <si>
    <t>84.2</t>
  </si>
  <si>
    <t>All About My Mother</t>
  </si>
  <si>
    <t>Pedro Almod√≥var</t>
  </si>
  <si>
    <t>Cecilia Roth, Marisa Paredes, Candela Pe√±a, Antonia San Juan</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</si>
  <si>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</si>
  <si>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Won 1 Oscar. Another 56 wins &amp; 35 nominations.</t>
  </si>
  <si>
    <t>102959.0</t>
  </si>
  <si>
    <t>204213.0</t>
  </si>
  <si>
    <t>https://www.rottentomatoes.com/m/all_about_my_mother</t>
  </si>
  <si>
    <t>tt0185125</t>
  </si>
  <si>
    <t>84.17</t>
  </si>
  <si>
    <t>Network</t>
  </si>
  <si>
    <t>Faye Dunaway, William Holden, Peter Finch, Robert Duvall</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</si>
  <si>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</si>
  <si>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Won 4 Oscars. Another 15 wins &amp; 25 nominations.</t>
  </si>
  <si>
    <t>MGM/United Artists</t>
  </si>
  <si>
    <t>78540.0</t>
  </si>
  <si>
    <t>162520.0</t>
  </si>
  <si>
    <t>https://www.rottentomatoes.com/m/network</t>
  </si>
  <si>
    <t>tt0074958</t>
  </si>
  <si>
    <t>Oldboy</t>
  </si>
  <si>
    <t>Drama, Thriller, Mystery, Action</t>
  </si>
  <si>
    <t>Choi Min-sik, Yoo Ji-tae, Kang Hye-jung, Kim Byeong-ok</t>
  </si>
  <si>
    <t>With no clue how he came to be imprisoned, drugged and tortured for 15 years, a desperate man seeks revenge on his captors.</t>
  </si>
  <si>
    <t>24 wins &amp; 14 nominations.</t>
  </si>
  <si>
    <t>Tartan Films</t>
  </si>
  <si>
    <t>428547.0</t>
  </si>
  <si>
    <t>1016835.0</t>
  </si>
  <si>
    <t>https://www.rottentomatoes.com/m/oldboy</t>
  </si>
  <si>
    <t>tt0364569</t>
  </si>
  <si>
    <t>The Triplets of Belleville</t>
  </si>
  <si>
    <t>Animation, Comedy, Drama, Family</t>
  </si>
  <si>
    <t>Sylvain Chomet</t>
  </si>
  <si>
    <t>Suzy Falk, Lina Boudreau, Betty Bonifassi, Mich√®le Caucheteux</t>
  </si>
  <si>
    <t>When her grandson is kidnapped during the Tour de France, Madame Souza and her beloved pooch Bruno team up with the Belleville Sisters‚Äîan aged song-and-dance team from the days of Fred Astaire‚Äîto rescue him.</t>
  </si>
  <si>
    <t>44514.0</t>
  </si>
  <si>
    <t>52924.0</t>
  </si>
  <si>
    <t>https://www.rottentomatoes.com/m/the_triplets_of_belleville</t>
  </si>
  <si>
    <t>tt0286244</t>
  </si>
  <si>
    <t>A Prophet</t>
  </si>
  <si>
    <t>Jacques Audiard</t>
  </si>
  <si>
    <t>Tahar Rahim, Niels Arestrup, Adel Bencherif, Hichem Yacoubi</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</si>
  <si>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</si>
  <si>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Nominated for 1 Oscar. Another 47 wins &amp; 39 nominations.</t>
  </si>
  <si>
    <t>36995.0</t>
  </si>
  <si>
    <t>60869.0</t>
  </si>
  <si>
    <t>https://www.rottentomatoes.com/m/1213205_prophet</t>
  </si>
  <si>
    <t>tt1235166</t>
  </si>
  <si>
    <t>Slumdog Millionaire</t>
  </si>
  <si>
    <t>Dev Patel, Freida Pinto, Madhur Mittal, Anil Kapoor</t>
  </si>
  <si>
    <t>A teenager reflects on his life after being accused of cheating on the Indian version of "Who Wants to be a Millionaire?".</t>
  </si>
  <si>
    <t>Won 8 Oscars. Another 153 wins &amp; 91 nominations.</t>
  </si>
  <si>
    <t>Fox Searchlight Pictures</t>
  </si>
  <si>
    <t>940532.0</t>
  </si>
  <si>
    <t>509273.0</t>
  </si>
  <si>
    <t>https://www.rottentomatoes.com/m/slumdog_millionaire</t>
  </si>
  <si>
    <t>tt1010048</t>
  </si>
  <si>
    <t>Paddington 2</t>
  </si>
  <si>
    <t>Adventure, Comedy, Family</t>
  </si>
  <si>
    <t>Paul King</t>
  </si>
  <si>
    <t>Ben Whishaw, Sally Hawkins, Hugh Bonneville, Hugh Grant</t>
  </si>
  <si>
    <t>Paddington, now happily settled with the Browns, picks up a series of odd jobs to buy the perfect present for his Aunt Lucy, but it is stolen.</t>
  </si>
  <si>
    <t>170554.0</t>
  </si>
  <si>
    <t>492384.0</t>
  </si>
  <si>
    <t>https://www.rottentomatoes.com/m/paddington_2</t>
  </si>
  <si>
    <t>tt4468740</t>
  </si>
  <si>
    <t>My Fair Lady</t>
  </si>
  <si>
    <t>Music, Comedy, Romance, Drama</t>
  </si>
  <si>
    <t>Audrey Hepburn, Rex Harrison, Stanley Holloway, Wilfrid Hyde-White</t>
  </si>
  <si>
    <t>A snobbish phonetics professor agrees to a wager that he can take a flower girl and make her presentable in high society.</t>
  </si>
  <si>
    <t>Won 8 Oscars. Another 14 wins &amp; 13 nominations.</t>
  </si>
  <si>
    <t>154784.0</t>
  </si>
  <si>
    <t>89861.0</t>
  </si>
  <si>
    <t>https://www.rottentomatoes.com/m/my_fair_lady</t>
  </si>
  <si>
    <t>tt0058385</t>
  </si>
  <si>
    <t>The Sting</t>
  </si>
  <si>
    <t>Comedy, Crime, Drama</t>
  </si>
  <si>
    <t>George Roy Hill</t>
  </si>
  <si>
    <t>Paul Newman, Robert Redford, Robert Shaw, Charles Durning</t>
  </si>
  <si>
    <t>A novice con man teams up with an acknowledged master to avenge the murder of a mutual friend by pulling off the ultimate big con and swindling a fortune from a big-time mobster.</t>
  </si>
  <si>
    <t>Won 7 Oscars. Another 10 wins &amp; 6 nominations.</t>
  </si>
  <si>
    <t>88454.0</t>
  </si>
  <si>
    <t>141404.0</t>
  </si>
  <si>
    <t>https://www.rottentomatoes.com/m/1020130_sting</t>
  </si>
  <si>
    <t>tt0070735</t>
  </si>
  <si>
    <t>All Quiet on the Western Front</t>
  </si>
  <si>
    <t>Lewis Milestone</t>
  </si>
  <si>
    <t>Louis Wolheim, Lew Ayres, John Wray, Arnold Lucy</t>
  </si>
  <si>
    <t>When a group of idealistic young men join the German Army during the Great War, they are assigned to the Western Front, where their patriotism is destroyed by the harsh realities of combat.</t>
  </si>
  <si>
    <t>Won 2 Oscars. Another 5 wins &amp; 2 nominations.</t>
  </si>
  <si>
    <t>29586.0</t>
  </si>
  <si>
    <t>52395.0</t>
  </si>
  <si>
    <t>70.0</t>
  </si>
  <si>
    <t>https://www.rottentomatoes.com/m/1000642-all_quiet_on_the_western_front</t>
  </si>
  <si>
    <t>tt0020629</t>
  </si>
  <si>
    <t>The Brutalist</t>
  </si>
  <si>
    <t>Brady Corbet</t>
  </si>
  <si>
    <t>Adrien Brody, Felicity Jones, Guy Pearce, Joe Alwyn</t>
  </si>
  <si>
    <t>Escaping post-war Europe, visionary architect L√°szl√≥ Toth arrives in America to rebuild his life. On his own in a strange new country, a wealthy industrialist recognizes his talent. But power and legacy come at a heavy cost...</t>
  </si>
  <si>
    <t>544891.0</t>
  </si>
  <si>
    <t>https://www.rottentomatoes.com/m/the_brutalist</t>
  </si>
  <si>
    <t>tt8999762</t>
  </si>
  <si>
    <t>Her</t>
  </si>
  <si>
    <t>Romance, Science Fiction, Drama</t>
  </si>
  <si>
    <t>Spike Jonze</t>
  </si>
  <si>
    <t>Joaquin Phoenix, Scarlett Johansson, Lynn Adrianna, Lisa Renee Pitts</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</si>
  <si>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</si>
  <si>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Won 1 Oscar. Another 103 wins &amp; 132 nominations.</t>
  </si>
  <si>
    <t>634081.0</t>
  </si>
  <si>
    <t>1696987.0</t>
  </si>
  <si>
    <t>https://www.rottentomatoes.com/m/her</t>
  </si>
  <si>
    <t>tt1798709</t>
  </si>
  <si>
    <t>The Secret in Their Eyes</t>
  </si>
  <si>
    <t>Mystery, Thriller, Drama</t>
  </si>
  <si>
    <t>Juan Jos√© Campanella</t>
  </si>
  <si>
    <t>Ricardo Dar√≠n, Soledad Villamil, Pablo Rago, Javier Godino</t>
  </si>
  <si>
    <t>Hoping to put to rest years of unease concerning a past case, retired criminal investigator Benjam√≠n begins writing a novel based on the unsolved mystery of a newlywed‚Äôs rape and murder. With the help of a former colleague, judge Irene, he attempts to make sense of the past.</t>
  </si>
  <si>
    <t>Won 1 Oscar. Another 51 wins &amp; 39 nominations.</t>
  </si>
  <si>
    <t>60610.0</t>
  </si>
  <si>
    <t>124396.0</t>
  </si>
  <si>
    <t>https://www.rottentomatoes.com/m/secret_in_their_eyes</t>
  </si>
  <si>
    <t>tt1305806</t>
  </si>
  <si>
    <t>The Elephant Man</t>
  </si>
  <si>
    <t>Anthony Hopkins, John Hurt, Anne Bancroft, John Gielgud</t>
  </si>
  <si>
    <t>A Victorian surgeon rescues a heavily disfigured man being mistreated by his "owner" as a side-show freak. Behind his monstrous fa√ßade, there is revealed a person of great intelligence and sensitivity. Based on the true story of Joseph Merrick (called John Merrick in the film), a severely deformed man in 19th century London.</t>
  </si>
  <si>
    <t>Nominated for 8 Oscars. Another 11 wins &amp; 13 nominations.</t>
  </si>
  <si>
    <t>Paramount</t>
  </si>
  <si>
    <t>138788.0</t>
  </si>
  <si>
    <t>286846.0</t>
  </si>
  <si>
    <t>https://www.rottentomatoes.com/m/1006527_elephant_man?</t>
  </si>
  <si>
    <t>tt0080678</t>
  </si>
  <si>
    <t>Aladdin</t>
  </si>
  <si>
    <t>Animation, Family, Adventure, Fantasy, Romance</t>
  </si>
  <si>
    <t>Ron Clements, John Musker</t>
  </si>
  <si>
    <t>Scott Weinger, Robin Williams, Linda Larkin, Jonathan Freeman</t>
  </si>
  <si>
    <t>In the boorish city of Agrabah, kind-hearted street urchin Aladdin and Princess Jasmine fall in love, although she can only marry a prince. He and power-hungry Grand Vizier Jafar vie for a magic lamp that can fulfill their wishes.</t>
  </si>
  <si>
    <t>Won 2 Oscars. Another 23 wins &amp; 17 nominations.</t>
  </si>
  <si>
    <t>Buena Vista Distribution Compa</t>
  </si>
  <si>
    <t>875875.0</t>
  </si>
  <si>
    <t>746788.0</t>
  </si>
  <si>
    <t>disney, amzvid, itunes</t>
  </si>
  <si>
    <t>https://www.rottentomatoes.com/m/1042582_aladdin?</t>
  </si>
  <si>
    <t>tt0103639</t>
  </si>
  <si>
    <t>Ford v. Ferrari</t>
  </si>
  <si>
    <t>Drama, Action, History</t>
  </si>
  <si>
    <t>James Mangold</t>
  </si>
  <si>
    <t>Matt Damon, Christian Bale, Jon Bernthal, Caitr√≠ona Balfe</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</si>
  <si>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</si>
  <si>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266066.0</t>
  </si>
  <si>
    <t>722735.0</t>
  </si>
  <si>
    <t>https://www.rottentomatoes.com/m/ford_v_ferrari</t>
  </si>
  <si>
    <t>tt1950186</t>
  </si>
  <si>
    <t>Three Billboards Outside Ebbing, Missouri</t>
  </si>
  <si>
    <t>Martin McDonagh</t>
  </si>
  <si>
    <t>Frances McDormand, Woody Harrelson, Sam Rockwell, Lucas Hedges</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</si>
  <si>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</si>
  <si>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246227.0</t>
  </si>
  <si>
    <t>690960.0</t>
  </si>
  <si>
    <t>https://www.rottentomatoes.com/m/three_billboards_outside_ebbing_missouri</t>
  </si>
  <si>
    <t>tt5027774</t>
  </si>
  <si>
    <t>Halloween</t>
  </si>
  <si>
    <t>John Carpenter</t>
  </si>
  <si>
    <t>Donald Pleasence, Jamie Lee Curtis, Nancy Kyes, P. J. Soles</t>
  </si>
  <si>
    <t>Fifteen years after murdering his sister on Halloween Night 1963, Michael Myers escapes from a mental hospital and returns to the small town of Haddonfield, Illinois to kill again.</t>
  </si>
  <si>
    <t>4 wins &amp; 2 nominations.</t>
  </si>
  <si>
    <t>Compass International Pictures</t>
  </si>
  <si>
    <t>478658.0</t>
  </si>
  <si>
    <t>826218.0</t>
  </si>
  <si>
    <t>https://www.rottentomatoes.com/m/1009113_halloween</t>
  </si>
  <si>
    <t>tt0077651</t>
  </si>
  <si>
    <t>A Clockwork Orange</t>
  </si>
  <si>
    <t>Science Fiction, Crime</t>
  </si>
  <si>
    <t>Malcolm McDowell, Patrick Magee, Carl Duering, Michael Bates</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</si>
  <si>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</si>
  <si>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649103.0</t>
  </si>
  <si>
    <t>1071687.0</t>
  </si>
  <si>
    <t>https://www.rottentomatoes.com/m/clockwork_orange</t>
  </si>
  <si>
    <t>tt0066921</t>
  </si>
  <si>
    <t>83.83</t>
  </si>
  <si>
    <t>The Graduate</t>
  </si>
  <si>
    <t>Drama, Romance, Comedy</t>
  </si>
  <si>
    <t>Mike Nichols</t>
  </si>
  <si>
    <t>Anne Bancroft, Dustin Hoffman, Katharine Ross, Murray Hamilton</t>
  </si>
  <si>
    <t>Benjamin, a recent college graduate very worried about his future, finds himself in a love triangle with an older woman and her daughter.</t>
  </si>
  <si>
    <t>Won 1 Oscar. Another 20 wins &amp; 16 nominations.</t>
  </si>
  <si>
    <t>Embassy Pictures/Rialto Pictures</t>
  </si>
  <si>
    <t>249780.0</t>
  </si>
  <si>
    <t>381526.0</t>
  </si>
  <si>
    <t>https://www.rottentomatoes.com/m/graduate</t>
  </si>
  <si>
    <t>tt0061722</t>
  </si>
  <si>
    <t>Full Metal Jacket</t>
  </si>
  <si>
    <t>Matthew Modine, Adam Baldwin, Vincent D'Onofrio, R. Lee Ermey</t>
  </si>
  <si>
    <t>A pragmatic U.S. Marine observes the dehumanizing effects the U.S.-Vietnam War has on his fellow recruits from their brutal boot camp training to the bloody street fighting in Hue.</t>
  </si>
  <si>
    <t>Nominated for 1 Oscar. Another 9 wins &amp; 7 nominations.</t>
  </si>
  <si>
    <t>461701.0</t>
  </si>
  <si>
    <t>734317.0</t>
  </si>
  <si>
    <t>https://www.rottentomatoes.com/m/full_metal_jacket</t>
  </si>
  <si>
    <t>tt0093058</t>
  </si>
  <si>
    <t>Good Will Hunting</t>
  </si>
  <si>
    <t>Gus Van Sant</t>
  </si>
  <si>
    <t>Matt Damon, Robin Williams, Ben Affleck, Stellan Skarsg√•rd</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</si>
  <si>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</si>
  <si>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Won 2 Oscars. Another 22 wins &amp; 49 nominations.</t>
  </si>
  <si>
    <t>71.0</t>
  </si>
  <si>
    <t>846429.0</t>
  </si>
  <si>
    <t>1807181.0</t>
  </si>
  <si>
    <t>https://www.rottentomatoes.com/m/good_will_hunting</t>
  </si>
  <si>
    <t>tt0119217</t>
  </si>
  <si>
    <t>Inception</t>
  </si>
  <si>
    <t>Action, Science Fiction, Adventure</t>
  </si>
  <si>
    <t>Leonardo DiCaprio, Joseph Gordon-Levitt, Ken Watanabe, Tom Hardy</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</si>
  <si>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</si>
  <si>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Won 4 Oscars. Another 138 wins &amp; 192 nominations.</t>
  </si>
  <si>
    <t>1315019.0</t>
  </si>
  <si>
    <t>2796491.0</t>
  </si>
  <si>
    <t>tt1375666</t>
  </si>
  <si>
    <t>Eyes Without a Face</t>
  </si>
  <si>
    <t>Georges Franju</t>
  </si>
  <si>
    <t>Pierre Brasseur, Alida Valli, √âdith Scob, Juliette Mayniel</t>
  </si>
  <si>
    <t>Dr. G√©nessier is riddled with guilt after an accident that he caused disfigures the face of his daughter, the once beautiful Christiane, who outsiders believe is dead. Dr. G√©nessier, along with accomplice and laboratory assistant Louise, kidnaps young women and brings them to the G√©nessier mansion. After rendering his victims unconscious, Dr. G√©nessier removes their faces and attempts to graft them on to Christiane's.</t>
  </si>
  <si>
    <t>47152.0</t>
  </si>
  <si>
    <t>122339.0</t>
  </si>
  <si>
    <t>https://www.rottentomatoes.com/m/eyes_without_a_face_1962</t>
  </si>
  <si>
    <t>tt0053459</t>
  </si>
  <si>
    <t>King Kong</t>
  </si>
  <si>
    <t>Adventure, Fantasy, Horror</t>
  </si>
  <si>
    <t>Merian C. Cooper, Ernest B. Schoedsack</t>
  </si>
  <si>
    <t>Robert Armstrong, Fay Wray, Bruce Cabot, Frank Reicher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</si>
  <si>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be displayed on Broadway as King Kong, the eighth wonder of the world.</t>
  </si>
  <si>
    <t>3 wins &amp; 3 nominations.</t>
  </si>
  <si>
    <t>RKO Pictures</t>
  </si>
  <si>
    <t>91336.0</t>
  </si>
  <si>
    <t>93284.0</t>
  </si>
  <si>
    <t>https://www.rottentomatoes.com/m/1011615_king_kong</t>
  </si>
  <si>
    <t>tt0024216</t>
  </si>
  <si>
    <t>The Boy and the Heron</t>
  </si>
  <si>
    <t>Animation, Adventure, Fantasy, Family, Drama</t>
  </si>
  <si>
    <t>Soma Santoki, Masaki Suda, Ko Shibasaki, Aimyon</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</si>
  <si>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</si>
  <si>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310942.0</t>
  </si>
  <si>
    <t>925249.0</t>
  </si>
  <si>
    <t>https://www.rottentomatoes.com/m/the_boy_and_the_heron</t>
  </si>
  <si>
    <t>tt6587046</t>
  </si>
  <si>
    <t>83.8</t>
  </si>
  <si>
    <t>The Holdovers</t>
  </si>
  <si>
    <t>Alexander Payne</t>
  </si>
  <si>
    <t>Paul Giamatti, Dominic Sessa, Da'Vine Joy Randolph, Carrie Preston</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</si>
  <si>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</si>
  <si>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387674.0</t>
  </si>
  <si>
    <t>1152636.0</t>
  </si>
  <si>
    <t>https://www.rottentomatoes.com/m/the_holdovers</t>
  </si>
  <si>
    <t>tt14849194</t>
  </si>
  <si>
    <t>Sinners</t>
  </si>
  <si>
    <t>Ryan Coogler</t>
  </si>
  <si>
    <t>Michael B. Jordan, Miles Caton, Hailee Steinfeld, Wunmi Mosaku</t>
  </si>
  <si>
    <t>Trying to leave their troubled lives behind, twin brothers return to their hometown to start again, only to discover that an even greater evil is waiting to welcome them back.</t>
  </si>
  <si>
    <t>1063065.0</t>
  </si>
  <si>
    <t>prime</t>
  </si>
  <si>
    <t>https://www.rottentomatoes.com/m/sinners_2025</t>
  </si>
  <si>
    <t>tt31193180</t>
  </si>
  <si>
    <t>83.75</t>
  </si>
  <si>
    <t>Harry Potter and the Deathly Hallows: Part 2</t>
  </si>
  <si>
    <t>Fantasy, Adventure</t>
  </si>
  <si>
    <t>David Yates</t>
  </si>
  <si>
    <t>Daniel Radcliffe, Emma Watson, Rupert Grint, Ralph Fiennes</t>
  </si>
  <si>
    <t>Harry, Ron and Hermione continue their quest to vanquish the evil Voldemort once and for all. Just as things begin to look hopeless for the young wizards, Harry discovers a trio of magical objects that endow him with powers to rival Voldemort's formidable skills.</t>
  </si>
  <si>
    <t>Nominated for 3 Oscars. Another 48 wins &amp; 77 nominations.</t>
  </si>
  <si>
    <t>739552.0</t>
  </si>
  <si>
    <t>1431230.0</t>
  </si>
  <si>
    <t>peacock, hbo, itunes, amzvid, hbm</t>
  </si>
  <si>
    <t>https://www.rottentomatoes.com/m/harry_potter_and_the_deathly_hallows_part_2_2011</t>
  </si>
  <si>
    <t>tt1201607</t>
  </si>
  <si>
    <t>83.67</t>
  </si>
  <si>
    <t>Boogie Nights</t>
  </si>
  <si>
    <t>Mark Wahlberg, Burt Reynolds, Julianne Moore, John C. Reilly</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</si>
  <si>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</si>
  <si>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Nominated for 3 Oscars. Another 36 wins &amp; 38 nominations.</t>
  </si>
  <si>
    <t>274867.0</t>
  </si>
  <si>
    <t>444602.0</t>
  </si>
  <si>
    <t>https://www.rottentomatoes.com/m/boogie_nights/</t>
  </si>
  <si>
    <t>tt0118749</t>
  </si>
  <si>
    <t>The Hurt Locker</t>
  </si>
  <si>
    <t>Drama, Thriller, War</t>
  </si>
  <si>
    <t>Kathryn Bigelow</t>
  </si>
  <si>
    <t>Jeremy Renner, Anthony Mackie, Brian Geraghty, David Morse</t>
  </si>
  <si>
    <t>During the Iraq War, a Sergeant recently assigned to an army bomb squad is put at odds with his squad mates due to his maverick way of handling his work.</t>
  </si>
  <si>
    <t>Won 6 Oscars. Another 126 wins &amp; 94 nominations.</t>
  </si>
  <si>
    <t>Summit Entertainment</t>
  </si>
  <si>
    <t>147838.0</t>
  </si>
  <si>
    <t>250506.0</t>
  </si>
  <si>
    <t>https://www.rottentomatoes.com/m/hurt_locker</t>
  </si>
  <si>
    <t>tt0887912</t>
  </si>
  <si>
    <t>Dead Poets Society</t>
  </si>
  <si>
    <t>Robin Williams, Robert Sean Leonard, Ethan Hawke, Josh Charles</t>
  </si>
  <si>
    <t>At an elite, old-fashioned boarding school in New England, a passionate English teacher inspires his students to rebel against convention and seize the potential of every day, courting the disdain of the stern headmaster.</t>
  </si>
  <si>
    <t>Won 1 Oscar. Another 17 wins &amp; 18 nominations.</t>
  </si>
  <si>
    <t>813805.0</t>
  </si>
  <si>
    <t>1825679.0</t>
  </si>
  <si>
    <t>https://www.rottentomatoes.com/m/dead_poets_society/</t>
  </si>
  <si>
    <t>tt0097165</t>
  </si>
  <si>
    <t>The Nightmare Before Christmas</t>
  </si>
  <si>
    <t>Henry Selick</t>
  </si>
  <si>
    <t>Danny Elfman, Chris Sarandon, Catherine O'Hara, William Hickey</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</si>
  <si>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</si>
  <si>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Nominated for 1 Oscar. Another 6 wins &amp; 6 nominations.</t>
  </si>
  <si>
    <t>Touchstone Pictures</t>
  </si>
  <si>
    <t>1008679.0</t>
  </si>
  <si>
    <t>1265746.0</t>
  </si>
  <si>
    <t>https://www.rottentomatoes.com/m/nightmare_before_christmas/</t>
  </si>
  <si>
    <t>tt0107688</t>
  </si>
  <si>
    <t>Avengers: Endgame</t>
  </si>
  <si>
    <t>Adventure, Science Fiction, Action</t>
  </si>
  <si>
    <t>Anthony Russo, Joe Russo</t>
  </si>
  <si>
    <t>Robert Downey Jr., Chris Evans, Mark Ruffalo, Chris Hemsworth</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</si>
  <si>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</si>
  <si>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856561.0</t>
  </si>
  <si>
    <t>2410586.0</t>
  </si>
  <si>
    <t>https://www.rottentomatoes.com/m/avengers_endgame</t>
  </si>
  <si>
    <t>tt4154796</t>
  </si>
  <si>
    <t>RRR</t>
  </si>
  <si>
    <t>Action, Adventure, Drama</t>
  </si>
  <si>
    <t>S. S. Rajamouli</t>
  </si>
  <si>
    <t>N.T. Rama Rao Jr., Ram Charan, Olivia Morris, Ray Stevenson</t>
  </si>
  <si>
    <t>te</t>
  </si>
  <si>
    <t>A fictional history of two legendary revolutionaries' journey away from home before they began fighting for their country in the 1920s.</t>
  </si>
  <si>
    <t>95355.0</t>
  </si>
  <si>
    <t>279475.0</t>
  </si>
  <si>
    <t>https://www.rottentomatoes.com/m/rrr</t>
  </si>
  <si>
    <t>tt8178634</t>
  </si>
  <si>
    <t>83.6</t>
  </si>
  <si>
    <t>Drive My Car</t>
  </si>
  <si>
    <t>Ry≈´suke Hamaguchi</t>
  </si>
  <si>
    <t>Hidetoshi Nishijima, Toko Miura, Masaki Okada, Reika Kirishima</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</si>
  <si>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</si>
  <si>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108261.0</t>
  </si>
  <si>
    <t>322596.0</t>
  </si>
  <si>
    <t>tt14039582</t>
  </si>
  <si>
    <t>Children of Men</t>
  </si>
  <si>
    <t>Drama, Action, Thriller, Science Fiction</t>
  </si>
  <si>
    <t>Alfonso Cuar√≥n</t>
  </si>
  <si>
    <t>Clive Owen, Clare-Hope Ashitey, Chiwetel Ejiofor, Julianne Moore</t>
  </si>
  <si>
    <t>In 2027, in a chaotic world in which humans can no longer procreate, a former activist agrees to help transport a miraculously pregnant woman to a sanctuary at sea, where her child's birth may help scientists save the future of humankind.</t>
  </si>
  <si>
    <t>Nominated for 3 Oscars. Another 43 wins &amp; 50 nominations.</t>
  </si>
  <si>
    <t>547568.0</t>
  </si>
  <si>
    <t>579387.0</t>
  </si>
  <si>
    <t>https://www.rottentomatoes.com/m/children_of_men</t>
  </si>
  <si>
    <t>tt0206634</t>
  </si>
  <si>
    <t>83.5</t>
  </si>
  <si>
    <t>Y Tu Mam√° Tambi√©n</t>
  </si>
  <si>
    <t>Diego Luna, Gael Garc√≠a Bernal, Maribel Verd√∫, Daniel Gim√©nez Cacho</t>
  </si>
  <si>
    <t>In Mexico, two teenage boys and an attractive older woman embark on a road trip and learn a thing or two about life, friendship, sex, and each other.</t>
  </si>
  <si>
    <t>Nominated for 1 Oscar. Another 42 wins &amp; 33 nominations.</t>
  </si>
  <si>
    <t>139298.0</t>
  </si>
  <si>
    <t>278042.0</t>
  </si>
  <si>
    <t>https://www.rottentomatoes.com/m/y_tu_mama_tambien</t>
  </si>
  <si>
    <t>tt0245574</t>
  </si>
  <si>
    <t>Close Encounters of the Third Kind</t>
  </si>
  <si>
    <t>Science Fiction, Drama</t>
  </si>
  <si>
    <t>Richard Dreyfuss, Fran√ßois Truffaut, Teri Garr, Melinda Dillon</t>
  </si>
  <si>
    <t>After an encounter with UFOs, an electricity linesman feels undeniably drawn to an isolated area in the wilderness where something spectacular is about to happen.</t>
  </si>
  <si>
    <t>Won 1 Oscar. Another 12 wins &amp; 37 nominations.</t>
  </si>
  <si>
    <t>Sony Pictures Releasing</t>
  </si>
  <si>
    <t>174410.0</t>
  </si>
  <si>
    <t>238295.0</t>
  </si>
  <si>
    <t>https://www.rottentomatoes.com/m/close_encounters_of_the_third_kind</t>
  </si>
  <si>
    <t>tt0075860</t>
  </si>
  <si>
    <t>The Usual Suspects</t>
  </si>
  <si>
    <t>Bryan Singer</t>
  </si>
  <si>
    <t>Stephen Baldwin, Gabriel Byrne, Benicio del Toro, Kevin Pollak</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</si>
  <si>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‚Äì leaving few survivors. Verbal lures his interrogators with an incredible story of the crime lord's almost supernatural prowess.</t>
  </si>
  <si>
    <t>Won 2 Oscars. Another 34 wins &amp; 10 nominations.</t>
  </si>
  <si>
    <t>Gramercy Pictures</t>
  </si>
  <si>
    <t>493378.0</t>
  </si>
  <si>
    <t>608644.0</t>
  </si>
  <si>
    <t>https://www.rottentomatoes.com/m/usual_suspects/</t>
  </si>
  <si>
    <t>tt0114814</t>
  </si>
  <si>
    <t>The Hunt</t>
  </si>
  <si>
    <t>Thomas Vinterberg</t>
  </si>
  <si>
    <t>Mads Mikkelsen, Thomas Bo Larsen, Annika Wedderkopp, Lasse Fogelstr√∏m</t>
  </si>
  <si>
    <t>da</t>
  </si>
  <si>
    <t>A teacher lives a lonely life, all the while struggling over his son‚Äôs custody. His life slowly gets better as he finds love and receives good news from his son, but his new luck is about to be brutally shattered by an innocent little lie.</t>
  </si>
  <si>
    <t>Nominated for 1 Oscar. Another 43 wins &amp; 54 nominations.</t>
  </si>
  <si>
    <t>Magnolia Pictures</t>
  </si>
  <si>
    <t>132458.0</t>
  </si>
  <si>
    <t>397376.0</t>
  </si>
  <si>
    <t>https://www.rottentomatoes.com/m/the_hunt_2012</t>
  </si>
  <si>
    <t>tt2106476</t>
  </si>
  <si>
    <t>Fantasia</t>
  </si>
  <si>
    <t>Bill Roberts, Paul Satterfield, Wilfred Jackson, Ben Sharpsteen, James Algar, T. Hee, Hamilton Luske, Samuel Armstrong, Jim Handley, Norman Ferguson, David Hand, Ford Beebe Jr.</t>
  </si>
  <si>
    <t>Deems Taylor, Walt Disney, Julietta Novis, Leopold Stokowski</t>
  </si>
  <si>
    <t>Walt Disney's timeless masterpiece is an extravaganza of sight and sound! See the music come to life, hear the pictures burst into song and experience the excitement that is Fantasia over and over again.</t>
  </si>
  <si>
    <t>Walt Disney Productions</t>
  </si>
  <si>
    <t>164075.0</t>
  </si>
  <si>
    <t>233257.0</t>
  </si>
  <si>
    <t>disney, amzvid</t>
  </si>
  <si>
    <t>https://www.rottentomatoes.com/m/fantasia</t>
  </si>
  <si>
    <t>tt0032455</t>
  </si>
  <si>
    <t>Kill Bill: Vol. 2</t>
  </si>
  <si>
    <t>Uma Thurman, David Carradine, Daryl Hannah, Michael Madsen</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</si>
  <si>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‚Ä¶ but kill Bill.</t>
  </si>
  <si>
    <t>Nominated for 2 Golden Globes. Another 15 wins &amp; 56 nominations.</t>
  </si>
  <si>
    <t>928375.0</t>
  </si>
  <si>
    <t>1100503.0</t>
  </si>
  <si>
    <t>https://www.rottentomatoes.com/m/kill_bill_volume_2</t>
  </si>
  <si>
    <t>tt0378194</t>
  </si>
  <si>
    <t>Brazil</t>
  </si>
  <si>
    <t>Comedy, Science Fiction</t>
  </si>
  <si>
    <t>Terry Gilliam</t>
  </si>
  <si>
    <t>Jonathan Pryce, Robert De Niro, Katherine Helmond, Ian Holm</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</si>
  <si>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</si>
  <si>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136795.0</t>
  </si>
  <si>
    <t>203811.0</t>
  </si>
  <si>
    <t>https://www.rottentomatoes.com/m/1003033_brazil</t>
  </si>
  <si>
    <t>tt0088846</t>
  </si>
  <si>
    <t>One Cut of the Dead</t>
  </si>
  <si>
    <t>Comedy, Horror, Drama</t>
  </si>
  <si>
    <t>Shinichiro Ueda</t>
  </si>
  <si>
    <t>Takayuki Hamatsu, Yuzuki Akiyama, Kazuaki Nagaya, Harumi Shuhama</t>
  </si>
  <si>
    <t>Real zombies arrive and terrorize the crew of a zombie film being shot in an abandoned warehouse, said to be the site of military experiments on humans.</t>
  </si>
  <si>
    <t>39772.0</t>
  </si>
  <si>
    <t>118048.0</t>
  </si>
  <si>
    <t>https://www.rottentomatoes.com/m/one_cut_of_the_dead</t>
  </si>
  <si>
    <t>tt7914416</t>
  </si>
  <si>
    <t>Monster</t>
  </si>
  <si>
    <t>Soya Kurokawa, Hinata Hiiragi, Sakura Ando, Eita Nagayama</t>
  </si>
  <si>
    <t>When a young boy begins behaving strangely, shocking truths emerge as the story unfolds through the eyes of his single mother, a teacher who is believed to be responsible, and the child himself.</t>
  </si>
  <si>
    <t>93798.0</t>
  </si>
  <si>
    <t>280888.0</t>
  </si>
  <si>
    <t>mubi</t>
  </si>
  <si>
    <t>https://www.rottentomatoes.com/m/monster_2023</t>
  </si>
  <si>
    <t>tt23736044</t>
  </si>
  <si>
    <t>83.4</t>
  </si>
  <si>
    <t>Perfect Days</t>
  </si>
  <si>
    <t>Wim Wenders</t>
  </si>
  <si>
    <t>Koji Yakusho, Tokio Emoto, Arisa Nakano, Aoi Yamada</t>
  </si>
  <si>
    <t>Hirayama is content with his life as a toilet cleaner in Tokyo. Outside of his structured routine, he cherishes music on cassette tapes, books, and taking photos of trees. Through unexpected encounters, he reflects on finding beauty in the world.</t>
  </si>
  <si>
    <t>175773.0</t>
  </si>
  <si>
    <t>526385.0</t>
  </si>
  <si>
    <t>hulu</t>
  </si>
  <si>
    <t>https://www.rottentomatoes.com/m/perfect_days_2023</t>
  </si>
  <si>
    <t>tt27503384</t>
  </si>
  <si>
    <t>Robot Dreams</t>
  </si>
  <si>
    <t>Animation, Drama, Comedy, Science Fiction</t>
  </si>
  <si>
    <t>Pablo Berger</t>
  </si>
  <si>
    <t>Ivan Labanda, Tito Trifol, Rafa Calvo, Jos√© Garc√≠a Tos</t>
  </si>
  <si>
    <t>A lonely dog's friendship with his robot companion takes a sad turn when an unexpected malfunction forces him to abandon Robot at the beach. Will Dog ever meet Robot again?</t>
  </si>
  <si>
    <t>61360.0</t>
  </si>
  <si>
    <t>183822.0</t>
  </si>
  <si>
    <t>https://www.rottentomatoes.com/m/robot_dreams</t>
  </si>
  <si>
    <t>tt13429870</t>
  </si>
  <si>
    <t>The Incredibles</t>
  </si>
  <si>
    <t>Action, Adventure, Animation, Family</t>
  </si>
  <si>
    <t>Craig T. Nelson, Holly Hunter, Sarah Vowell, Spencer Fox</t>
  </si>
  <si>
    <t>Bob Parr has given up his superhero days to log in time as an insurance adjuster and raise his three children with his formerly heroic wife in suburbia. But when he receives a mysterious assignment, it's time to get back into costume.</t>
  </si>
  <si>
    <t>22277024.0</t>
  </si>
  <si>
    <t>1622816.0</t>
  </si>
  <si>
    <t>https://www.rottentomatoes.com/m/incredibles</t>
  </si>
  <si>
    <t>tt0317705</t>
  </si>
  <si>
    <t>83.33</t>
  </si>
  <si>
    <t>Stand by Me</t>
  </si>
  <si>
    <t>Rob Reiner</t>
  </si>
  <si>
    <t>Wil Wheaton, River Phoenix, Corey Feldman, Jerry O'Connell</t>
  </si>
  <si>
    <t>After learning that a boy their age has been accidentally killed near their rural homes, four Oregon boys decide to go see the body. On the way, Gordie,  Vern, Chris and Teddy encounter a mean junk man and a marsh full of leeches, as they also learn more about one another and their very different home lives. Just a lark at first, the boys' adventure evolves into a defining event in their lives.</t>
  </si>
  <si>
    <t>Nominated for 1 Oscar. Another 4 wins &amp; 10 nominations.</t>
  </si>
  <si>
    <t>MCA Universal Home Video</t>
  </si>
  <si>
    <t>437767.0</t>
  </si>
  <si>
    <t>771437.0</t>
  </si>
  <si>
    <t>hulu, itunes, amzvid</t>
  </si>
  <si>
    <t>tt0092005</t>
  </si>
  <si>
    <t>Goldfinger</t>
  </si>
  <si>
    <t>Adventure, Action, Thriller</t>
  </si>
  <si>
    <t>Guy Hamilton</t>
  </si>
  <si>
    <t>Sean Connery, Gert Fr√∂be, Honor Blackman, Harold Sakata</t>
  </si>
  <si>
    <t>Special agent 007 comes face to face with one of the most notorious villains of all time, and now he must outwit and outgun the powerful tycoon to prevent him from cashing in on a devious scheme to raid Fort Knox -- and obliterate the world's economy.</t>
  </si>
  <si>
    <t>Won 1 Oscar. Another 4 wins &amp; 5 nominations.</t>
  </si>
  <si>
    <t>193600.0</t>
  </si>
  <si>
    <t>165532.0</t>
  </si>
  <si>
    <t>https://www.rottentomatoes.com/m/goldfinger</t>
  </si>
  <si>
    <t>tt0058150</t>
  </si>
  <si>
    <t>Manchester by the Sea</t>
  </si>
  <si>
    <t>Kenneth Lonergan</t>
  </si>
  <si>
    <t>Casey Affleck, Lucas Hedges, Michelle Williams, Kyle Chandler</t>
  </si>
  <si>
    <t>After his older brother passes away, Lee Chandler is forced to return home to care for his 16-year-old nephew. There he is compelled to deal with a tragic past that separated him from his family and the community where he was born and raised.</t>
  </si>
  <si>
    <t>258451.0</t>
  </si>
  <si>
    <t>673804.0</t>
  </si>
  <si>
    <t>https://www.rottentomatoes.com/m/manchester_by_the_sea</t>
  </si>
  <si>
    <t>tt4034228</t>
  </si>
  <si>
    <t>Frankenstein</t>
  </si>
  <si>
    <t>Drama, Horror, Science Fiction</t>
  </si>
  <si>
    <t>James Whale</t>
  </si>
  <si>
    <t>Colin Clive, Mae Clarke, John Boles, Boris Karloff</t>
  </si>
  <si>
    <t>Tampering with life and death, Henry Frankenstein pieces together salvaged body parts to bring a human monster to life; the mad scientist's dreams are shattered by his creation's violent rage as the monster awakens to a world in which he is unwelcome.</t>
  </si>
  <si>
    <t>Universal Pictures Company</t>
  </si>
  <si>
    <t>55846.0</t>
  </si>
  <si>
    <t>155858.0</t>
  </si>
  <si>
    <t>https://www.rottentomatoes.com/m/1007818-frankenstein/</t>
  </si>
  <si>
    <t>tt0021884</t>
  </si>
  <si>
    <t>Before Midnight</t>
  </si>
  <si>
    <t>Ethan Hawke, Julie Delpy, Seamus Davey-Fitzpatrick, Jennifer Prior</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</si>
  <si>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</si>
  <si>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Nominated for 1 Oscar. Another 23 wins &amp; 47 nominations.</t>
  </si>
  <si>
    <t>Drafthouse Recommends</t>
  </si>
  <si>
    <t>160109.0</t>
  </si>
  <si>
    <t>404845.0</t>
  </si>
  <si>
    <t>https://www.rottentomatoes.com/m/before_midnight_2013/</t>
  </si>
  <si>
    <t>tt2209418</t>
  </si>
  <si>
    <t>Man on Wire</t>
  </si>
  <si>
    <t>James Marsh</t>
  </si>
  <si>
    <t>Philippe Petit, Jean Fran√ßois Heckel, Jean-Louis Blondeau, Annie Allix</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</si>
  <si>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</si>
  <si>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Won 1 Oscar. Another 43 wins &amp; 11 nominations.</t>
  </si>
  <si>
    <t>33830.0</t>
  </si>
  <si>
    <t>41086.0</t>
  </si>
  <si>
    <t>https://www.rottentomatoes.com/m/man_on_wire</t>
  </si>
  <si>
    <t>tt1155592</t>
  </si>
  <si>
    <t>American Beauty</t>
  </si>
  <si>
    <t>Sam Mendes</t>
  </si>
  <si>
    <t>Kevin Spacey, Annette Bening, Thora Birch, Wes Bentley</t>
  </si>
  <si>
    <t>Lester Burnham, a depressed suburban father in a mid-life crisis, decides to turn his hectic life around after developing an infatuation with his daughter's attractive friend.</t>
  </si>
  <si>
    <t>Won 5 Oscars. Another 115 wins &amp; 82 nominations.</t>
  </si>
  <si>
    <t>Dream Works</t>
  </si>
  <si>
    <t>743082.0</t>
  </si>
  <si>
    <t>906361.0</t>
  </si>
  <si>
    <t>https://www.rottentomatoes.com/m/american_beauty/</t>
  </si>
  <si>
    <t>tt0169547</t>
  </si>
  <si>
    <t>The Princess Bride</t>
  </si>
  <si>
    <t>Adventure, Family, Fantasy, Comedy, Romance</t>
  </si>
  <si>
    <t>Cary Elwes, Robin Wright, Mandy Patinkin, Chris Sarandon</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</si>
  <si>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</si>
  <si>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Nominated for 1 Oscar. Another 6 wins &amp; 8 nominations.</t>
  </si>
  <si>
    <t>586715.0</t>
  </si>
  <si>
    <t>703277.0</t>
  </si>
  <si>
    <t>https://www.rottentomatoes.com/m/princess_bride</t>
  </si>
  <si>
    <t>tt0093779</t>
  </si>
  <si>
    <t>83.17</t>
  </si>
  <si>
    <t>Deep Red</t>
  </si>
  <si>
    <t>Horror, Mystery, Thriller</t>
  </si>
  <si>
    <t>Dario Argento</t>
  </si>
  <si>
    <t>David Hemmings, Daria Nicolodi, Gabriele Lavia, Macha M√©ril</t>
  </si>
  <si>
    <t>An English pianist living in Rome witnesses the brutal murder of his psychic neighbor. With the help of a tenacious young reporter, he tries to discover the killer using very unconventional methods. The two are soon drawn into a shocking web of dementia and violence.</t>
  </si>
  <si>
    <t>1 win &amp; 1 nomination.</t>
  </si>
  <si>
    <t>Anchor Bay Entertainment</t>
  </si>
  <si>
    <t>41285.0</t>
  </si>
  <si>
    <t>100209.0</t>
  </si>
  <si>
    <t>https://www.rottentomatoes.com/m/deep_red_1975</t>
  </si>
  <si>
    <t>tt0073582</t>
  </si>
  <si>
    <t>Mary and Max</t>
  </si>
  <si>
    <t>Animation, Comedy, Drama</t>
  </si>
  <si>
    <t>Adam Elliot</t>
  </si>
  <si>
    <t>Toni Collette, Philip Seymour Hoffman, Barry Humphries, Eric Bana</t>
  </si>
  <si>
    <t>A tale of friendship between two unlikely pen pals: Mary, a lonely, eight-year-old girl living in the suburbs of Melbourne, and Max, a forty-four-year old, severely obese man living in New York.</t>
  </si>
  <si>
    <t>4 wins &amp; 7 nominations.</t>
  </si>
  <si>
    <t>63451.0</t>
  </si>
  <si>
    <t>139756.0</t>
  </si>
  <si>
    <t>https://www.rottentomatoes.com/m/1209767_mary_and_max</t>
  </si>
  <si>
    <t>tt0978762</t>
  </si>
  <si>
    <t>Dunkirk</t>
  </si>
  <si>
    <t>War, Action, Drama</t>
  </si>
  <si>
    <t>Fionn Whitehead, Tom Hardy, Mark Rylance, Kenneth Branagh</t>
  </si>
  <si>
    <t>The story of the miraculous evacuation of Allied soldiers from Belgium, Britain, Canada and France, who were cut off and surrounded by the German army from the beaches and harbour of Dunkirk between May 26th and June 4th 1940 during World War II.</t>
  </si>
  <si>
    <t>525161.0</t>
  </si>
  <si>
    <t>1433980.0</t>
  </si>
  <si>
    <t>peacock, itunes, amzvid, hbm</t>
  </si>
  <si>
    <t>https://www.rottentomatoes.com/m/dunkirk_2017</t>
  </si>
  <si>
    <t>tt5013056</t>
  </si>
  <si>
    <t>Heat</t>
  </si>
  <si>
    <t>Crime, Drama, Action</t>
  </si>
  <si>
    <t>Michael Mann</t>
  </si>
  <si>
    <t>Al Pacino, Robert De Niro, Val Kilmer, Jon Voight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</si>
  <si>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</si>
  <si>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1 win &amp; 8 nominations.</t>
  </si>
  <si>
    <t>378101.0</t>
  </si>
  <si>
    <t>688200.0</t>
  </si>
  <si>
    <t>https://www.rottentomatoes.com/m/1068182-heat/</t>
  </si>
  <si>
    <t>tt0113277</t>
  </si>
  <si>
    <t>Pride &amp; Prejudice</t>
  </si>
  <si>
    <t>Joe Wright</t>
  </si>
  <si>
    <t>Keira Knightley, Matthew Macfadyen, Brenda Blethyn, Donald Sutherland</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</si>
  <si>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</si>
  <si>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Nominated for 4 Oscars. Another 18 wins &amp; 41 nominations.</t>
  </si>
  <si>
    <t>707510.0</t>
  </si>
  <si>
    <t>1202164.0</t>
  </si>
  <si>
    <t>britbox, itunes, amzvid</t>
  </si>
  <si>
    <t>https://www.rottentomatoes.com/m/1153077_1153077_pride_and_prejudice</t>
  </si>
  <si>
    <t>tt0414387</t>
  </si>
  <si>
    <t>Repulsion</t>
  </si>
  <si>
    <t>Drama, Thriller, Horror</t>
  </si>
  <si>
    <t>Catherine Deneuve, Ian Hendry, John Fraser, Yvonne Furneaux</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</si>
  <si>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</si>
  <si>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Nominated for 1 BAFTA Film Award. Another 2 wins &amp; 3 nominations.</t>
  </si>
  <si>
    <t>Royal Films International</t>
  </si>
  <si>
    <t>39850.0</t>
  </si>
  <si>
    <t>81167.0</t>
  </si>
  <si>
    <t>https://www.rottentomatoes.com/m/repulsion</t>
  </si>
  <si>
    <t>tt0059646</t>
  </si>
  <si>
    <t>Capernaum</t>
  </si>
  <si>
    <t>Nadine Labaki</t>
  </si>
  <si>
    <t>Zain Al Rafeea, Yordanos Shifera, Boluwatife Treasure Bankole, Kawsar Al Haddad</t>
  </si>
  <si>
    <t>ar</t>
  </si>
  <si>
    <t>After running away from his negligent parents, committing a violent crime and being sentenced to five years in jail, a hardened, streetwise 12-year-old Lebanese boy sues his parents in protest of the life they have given him.</t>
  </si>
  <si>
    <t>33107.0</t>
  </si>
  <si>
    <t>96419.0</t>
  </si>
  <si>
    <t>https://www.rottentomatoes.com/m/capernaum</t>
  </si>
  <si>
    <t>tt8267604</t>
  </si>
  <si>
    <t>Mulholland Drive</t>
  </si>
  <si>
    <t>Thriller, Drama, Mystery</t>
  </si>
  <si>
    <t>Naomi Watts, Laura Harring, Justin Theroux, Ann Miller</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</si>
  <si>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</si>
  <si>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Nominated for 1 Oscar. Another 49 wins &amp; 40 nominations.</t>
  </si>
  <si>
    <t>Universal Focus</t>
  </si>
  <si>
    <t>396635.0</t>
  </si>
  <si>
    <t>810417.0</t>
  </si>
  <si>
    <t>https://www.rottentomatoes.com/m/mulholland_dr</t>
  </si>
  <si>
    <t>tt0166924</t>
  </si>
  <si>
    <t>Lost in Translation</t>
  </si>
  <si>
    <t>Sofia Coppola</t>
  </si>
  <si>
    <t>Bill Murray, Scarlett Johansson, Akiko Takeshita, Kazuyoshi Minamimagoe</t>
  </si>
  <si>
    <t>Two lost souls visiting Tokyo -- the young, neglected wife of a photographer and a washed-up movie star shooting a TV commercial -- find an odd solace and pensive freedom to be real in each other's company, away from their lives in America.</t>
  </si>
  <si>
    <t>Won 1 Oscar. Another 107 wins &amp; 77 nominations.</t>
  </si>
  <si>
    <t>580822.0</t>
  </si>
  <si>
    <t>1066082.0</t>
  </si>
  <si>
    <t>https://www.rottentomatoes.com/m/lost_in_translation</t>
  </si>
  <si>
    <t>tt0335266</t>
  </si>
  <si>
    <t>All the President's Men</t>
  </si>
  <si>
    <t>Drama, History, Mystery, Thriller</t>
  </si>
  <si>
    <t>Alan J. Pakula</t>
  </si>
  <si>
    <t>Dustin Hoffman, Robert Redford, Jack Warden, Martin Balsam</t>
  </si>
  <si>
    <t>During the 1972 elections, two reporters' investigation sheds light on the controversial Watergate scandal that compels President Nixon to resign from his post.</t>
  </si>
  <si>
    <t>Won 4 Oscars. Another 12 wins &amp; 21 nominations.</t>
  </si>
  <si>
    <t>83353.0</t>
  </si>
  <si>
    <t>149021.0</t>
  </si>
  <si>
    <t>https://www.rottentomatoes.com/m/all_the_presidents_men</t>
  </si>
  <si>
    <t>tt0074119</t>
  </si>
  <si>
    <t>Amores Perros</t>
  </si>
  <si>
    <t>Alejandro Gonz√°lez I√±√°rritu</t>
  </si>
  <si>
    <t>Emilio Echevarr√≠a, Gael Garc√≠a Bernal, Vanessa Bauche, Goya Toledo</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</si>
  <si>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</si>
  <si>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Nominated for 1 Oscar. Another 54 wins &amp; 22 nominations.</t>
  </si>
  <si>
    <t>Lions Gate Films</t>
  </si>
  <si>
    <t>127741.0</t>
  </si>
  <si>
    <t>174338.0</t>
  </si>
  <si>
    <t>https://www.rottentomatoes.com/m/amores_perros/</t>
  </si>
  <si>
    <t>tt0245712</t>
  </si>
  <si>
    <t>The Umbrellas of Cherbourg</t>
  </si>
  <si>
    <t>Jacques Demy</t>
  </si>
  <si>
    <t>Catherine Deneuve, Nino Castelnuovo, Anne Vernon, Mireille Perrey</t>
  </si>
  <si>
    <t>This simple romantic tragedy begins in 1957. Guy Foucher, a 20-year-old French auto mechanic, has fallen in love with 17-year-old Genevi√®ve Emery, an employee in her widowed mother's chic but financially embattled umbrella shop. On the evening before Guy is to leave for a two-year tour of combat in Algeria, he and Genevi√®ve make love. She becomes pregnant and must choose between waiting for Guy's return or accepting an offer of marriage from a wealthy diamond merchant.</t>
  </si>
  <si>
    <t>Nominated for 5 Oscars. Another 5 wins &amp; 2 nominations.</t>
  </si>
  <si>
    <t>Zeitgeist Films</t>
  </si>
  <si>
    <t>52926.0</t>
  </si>
  <si>
    <t>138924.0</t>
  </si>
  <si>
    <t>https://www.rottentomatoes.com/m/the_umbrellas_of_cherbourg_1964</t>
  </si>
  <si>
    <t>tt0058450</t>
  </si>
  <si>
    <t>Nine Queens</t>
  </si>
  <si>
    <t>Crime, Thriller, Drama</t>
  </si>
  <si>
    <t>Fabi√°n Bielinsky</t>
  </si>
  <si>
    <t>Ricardo Dar√≠n, Gast√≥n Pauls, Leticia Br√©dice, Gabo Correa</t>
  </si>
  <si>
    <t>Two con artists try to swindle a stamp collector by selling him a sheet of counterfeit rare stamps (the "nine queens").</t>
  </si>
  <si>
    <t>22 wins &amp; 8 nominations.</t>
  </si>
  <si>
    <t>31616.0</t>
  </si>
  <si>
    <t>66882.0</t>
  </si>
  <si>
    <t>https://www.rottentomatoes.com/m/nine_queens</t>
  </si>
  <si>
    <t>tt0247586</t>
  </si>
  <si>
    <t>Nashville</t>
  </si>
  <si>
    <t>Drama, Music, Comedy</t>
  </si>
  <si>
    <t>Robert Altman</t>
  </si>
  <si>
    <t>David Arkin, Barbara Baxley, Ned Beatty, Karen Black</t>
  </si>
  <si>
    <t>The intersecting stories of twenty-four characters‚Äîfrom country star to wannabe to reporter to waitress‚Äîconnect to the music business in Nashville, Tennessee.</t>
  </si>
  <si>
    <t>Won 1 Oscar. Another 23 wins &amp; 24 nominations.</t>
  </si>
  <si>
    <t>25045.0</t>
  </si>
  <si>
    <t>54825.0</t>
  </si>
  <si>
    <t>https://www.rottentomatoes.com/m/nashville</t>
  </si>
  <si>
    <t>tt0073440</t>
  </si>
  <si>
    <t>War, History, Thriller, Drama</t>
  </si>
  <si>
    <t>George MacKay, Dean-Charles Chapman, Mark Strong, Andrew Scott</t>
  </si>
  <si>
    <t>At the height of the First World War, two young British soldiers must cross enemy territory and deliver a message that will stop a deadly attack on hundreds of soldiers.</t>
  </si>
  <si>
    <t>523306.0</t>
  </si>
  <si>
    <t>1473895.0</t>
  </si>
  <si>
    <t>paramount, netflix, itunes, amzvid</t>
  </si>
  <si>
    <t>https://www.rottentomatoes.com/m/1917_2019</t>
  </si>
  <si>
    <t>tt8579674</t>
  </si>
  <si>
    <t>Interstellar</t>
  </si>
  <si>
    <t>Adventure, Drama, Science Fiction</t>
  </si>
  <si>
    <t>Matthew McConaughey, Anne Hathaway, Michael Caine, Jessica Chastain</t>
  </si>
  <si>
    <t>The adventures of a group of explorers who make use of a newly discovered wormhole to surpass the limitations on human space travel and conquer the vast distances involved in an interstellar voyage.</t>
  </si>
  <si>
    <t>Won 1 Oscar. Another 44 wins &amp; 102 nominations.</t>
  </si>
  <si>
    <t>1339544.0</t>
  </si>
  <si>
    <t>3653428.0</t>
  </si>
  <si>
    <t>https://www.rottentomatoes.com/m/interstellar_2014</t>
  </si>
  <si>
    <t>tt0816692</t>
  </si>
  <si>
    <t>Monsters, Inc.</t>
  </si>
  <si>
    <t>John Goodman, Billy Crystal, Mary Gibbs, Steve Buscemi</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</si>
  <si>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</si>
  <si>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Won 1 Oscar. Another 16 wins &amp; 34 nominations.</t>
  </si>
  <si>
    <t>1370738.0</t>
  </si>
  <si>
    <t>1602939.0</t>
  </si>
  <si>
    <t>https://www.rottentomatoes.com/m/monsters_inc/</t>
  </si>
  <si>
    <t>tt0198781</t>
  </si>
  <si>
    <t>Die Hard</t>
  </si>
  <si>
    <t>Action, Thriller</t>
  </si>
  <si>
    <t>John McTiernan</t>
  </si>
  <si>
    <t>Bruce Willis, Alan Rickman, Alexander Godunov, Bonnie Bedelia</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</si>
  <si>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</si>
  <si>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Nominated for 4 Oscars. Another 6 wins &amp; 2 nominations.</t>
  </si>
  <si>
    <t>676199.0</t>
  </si>
  <si>
    <t>877027.0</t>
  </si>
  <si>
    <t>https://www.rottentomatoes.com/m/die_hard</t>
  </si>
  <si>
    <t>tt0095016</t>
  </si>
  <si>
    <t>Thelma &amp; Louise</t>
  </si>
  <si>
    <t>Drama, Thriller, Crime, Adventure</t>
  </si>
  <si>
    <t>Susan Sarandon, Geena Davis, Harvey Keitel, Michael Madsen</t>
  </si>
  <si>
    <t>Taking a break from their dreary lives, close friends Thelma and Louise embark on a short weekend trip that ends in unforeseen incriminating circumstances. As fugitives, both women rediscover the strength of their bond and their newfound resilience.</t>
  </si>
  <si>
    <t>Won 1 Oscar. Another 16 wins &amp; 35 nominations.</t>
  </si>
  <si>
    <t>233243.0</t>
  </si>
  <si>
    <t>358609.0</t>
  </si>
  <si>
    <t>paramount, prime, itunes, amzvid</t>
  </si>
  <si>
    <t>https://www.rottentomatoes.com/m/thelma_and_louise/</t>
  </si>
  <si>
    <t>tt0103074</t>
  </si>
  <si>
    <t>Winter Sleep</t>
  </si>
  <si>
    <t>Nuri Bilge Ceylan</t>
  </si>
  <si>
    <t>Haluk Bilginer, Melisa S√∂zen, Demet Akbaƒü, Ayberk Pekcan</t>
  </si>
  <si>
    <t>tr</t>
  </si>
  <si>
    <t>Aydƒ±n is a hotel owner and a retired actor in rural Turkey. As winter emerges he begins navigating the conflicts within the relationships with his wife, sister and existence.</t>
  </si>
  <si>
    <t>18 wins &amp; 21 nominations.</t>
  </si>
  <si>
    <t>Adopt Films</t>
  </si>
  <si>
    <t>18662.0</t>
  </si>
  <si>
    <t>44413.0</t>
  </si>
  <si>
    <t>https://www.rottentomatoes.com/m/kis_uykusu/</t>
  </si>
  <si>
    <t>tt2758880</t>
  </si>
  <si>
    <t>Brokeback Mountain</t>
  </si>
  <si>
    <t>Heath Ledger, Jake Gyllenhaal, Michelle Williams, Anne Hathaway</t>
  </si>
  <si>
    <t>In 1960s Wyoming, two men develop a strong emotional and sexual relationship that endures as a lifelong connection complicating their lives as they get married and start families of their own.</t>
  </si>
  <si>
    <t>Won 3 Oscars. Another 119 wins &amp; 100 nominations.</t>
  </si>
  <si>
    <t>679747.0</t>
  </si>
  <si>
    <t>998353.0</t>
  </si>
  <si>
    <t>https://www.rottentomatoes.com/m/brokeback_mountain</t>
  </si>
  <si>
    <t>tt0388795</t>
  </si>
  <si>
    <t>Fight Club</t>
  </si>
  <si>
    <t>Edward Norton, Brad Pitt, Helena Bonham Carter, Meat Loaf</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</si>
  <si>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</si>
  <si>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Nominated for 1 Oscar. Another 10 wins &amp; 22 nominations.</t>
  </si>
  <si>
    <t>67.0</t>
  </si>
  <si>
    <t>1908799.0</t>
  </si>
  <si>
    <t>3533146.0</t>
  </si>
  <si>
    <t>tt0137523</t>
  </si>
  <si>
    <t>The Fugitive</t>
  </si>
  <si>
    <t>Action, Thriller, Drama</t>
  </si>
  <si>
    <t>Andrew Davis</t>
  </si>
  <si>
    <t>Harrison Ford, Tommy Lee Jones, Joe Pantoliano, Jeroen Krabb√©</t>
  </si>
  <si>
    <t>Wrongfully convicted of murdering his wife and sentenced to death, Richard Kimble escapes from the law in an attempt to find the real killer and clear his name.</t>
  </si>
  <si>
    <t>Won 1 Oscar. Another 12 wins &amp; 24 nominations.</t>
  </si>
  <si>
    <t>249088.0</t>
  </si>
  <si>
    <t>210713.0</t>
  </si>
  <si>
    <t>https://www.rottentomatoes.com/m/1046129-fugitive</t>
  </si>
  <si>
    <t>tt0106977</t>
  </si>
  <si>
    <t>Searching for Sugar Man</t>
  </si>
  <si>
    <t>Music, Documentary</t>
  </si>
  <si>
    <t>Malik Bendjelloul</t>
  </si>
  <si>
    <t>Stephen Segerman, Rodriguez, Regan Rodriguez, Eva Rodriguez</t>
  </si>
  <si>
    <t>Two South Africans set out to discover what happened to their unlikely musical hero, the mysterious 1970s rock 'n' roller, Rodriguez.</t>
  </si>
  <si>
    <t>Won 1 Oscar. Another 39 wins &amp; 29 nominations.</t>
  </si>
  <si>
    <t>32711.0</t>
  </si>
  <si>
    <t>59199.0</t>
  </si>
  <si>
    <t>https://www.rottentomatoes.com/m/searching_for_sugar_man</t>
  </si>
  <si>
    <t>tt2125608</t>
  </si>
  <si>
    <t>Knives Out</t>
  </si>
  <si>
    <t>Comedy, Crime, Mystery</t>
  </si>
  <si>
    <t>Rian Johnson</t>
  </si>
  <si>
    <t>Daniel Craig, Chris Evans, Ana de Armas, Jamie Lee Curtis</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</si>
  <si>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</si>
  <si>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1010904.0</t>
  </si>
  <si>
    <t>2915105.0</t>
  </si>
  <si>
    <t>https://www.rottentomatoes.com/m/knives_out</t>
  </si>
  <si>
    <t>tt8946378</t>
  </si>
  <si>
    <t>Donnie Darko</t>
  </si>
  <si>
    <t>Fantasy, Drama, Mystery</t>
  </si>
  <si>
    <t>Richard Kelly</t>
  </si>
  <si>
    <t>Jake Gyllenhaal, Jena Malone, James Duval, Drew Barrymore</t>
  </si>
  <si>
    <t>After narrowly escaping a bizarre accident, a troubled teenager is plagued by visions of a large bunny rabbit that manipulates him to commit a series of crimes.</t>
  </si>
  <si>
    <t>11 wins &amp; 14 nominations.</t>
  </si>
  <si>
    <t>Newmarket Film Group</t>
  </si>
  <si>
    <t>21170832.0</t>
  </si>
  <si>
    <t>1543362.0</t>
  </si>
  <si>
    <t>hulu, prime, itunes, amzvid, hbm</t>
  </si>
  <si>
    <t>https://www.rottentomatoes.com/m/donnie_darko</t>
  </si>
  <si>
    <t>tt0246578</t>
  </si>
  <si>
    <t>Minari</t>
  </si>
  <si>
    <t>Lee Isaac Chung</t>
  </si>
  <si>
    <t>Steven Yeun, Han Ye-ri, Youn Yuh-jung, Will Patton</t>
  </si>
  <si>
    <t>A Korean American family moves to an Arkansas farm in search of its own American dream. Amidst the challenges of this new life in the strange and rugged Ozarks, they discover the undeniable resilience of family and what really makes a home.</t>
  </si>
  <si>
    <t>151806.0</t>
  </si>
  <si>
    <t>450850.0</t>
  </si>
  <si>
    <t>tt10633456</t>
  </si>
  <si>
    <t>Citizenfour</t>
  </si>
  <si>
    <t>Laura Poitras</t>
  </si>
  <si>
    <t>Edward Snowden, Glenn Greenwald, Laura Poitras, William Binney</t>
  </si>
  <si>
    <t>In June 2013, Laura Poitras and reporter Glenn Greenwald flew to Hong Kong for the first of many meetings with Edward Snowden. She brought her camera with her.</t>
  </si>
  <si>
    <t>Won 1 Oscar. Another 44 wins &amp; 24 nominations.</t>
  </si>
  <si>
    <t>Radius-TWC</t>
  </si>
  <si>
    <t>28783.0</t>
  </si>
  <si>
    <t>45653.0</t>
  </si>
  <si>
    <t>https://www.rottentomatoes.com/m/citizenfour</t>
  </si>
  <si>
    <t>tt4044364</t>
  </si>
  <si>
    <t>Flee</t>
  </si>
  <si>
    <t>Documentary, Animation</t>
  </si>
  <si>
    <t>Jonas Poher Rasmussen</t>
  </si>
  <si>
    <t>Amin Nawabi, Daniel Karimyar, Fardin Mijdzadeh, Milad Eskandari</t>
  </si>
  <si>
    <t>Recounted mostly through animation to protect his identity, Amin looks back over his past as a child refugee from Afghanistan as he grapples with a secret he‚Äôs kept hidden for 20 years.</t>
  </si>
  <si>
    <t>25799.0</t>
  </si>
  <si>
    <t>76686.0</t>
  </si>
  <si>
    <t>https://www.rottentomatoes.com/m/flee</t>
  </si>
  <si>
    <t>tt8430054</t>
  </si>
  <si>
    <t>Hell or High Water</t>
  </si>
  <si>
    <t>Western, Crime, Drama</t>
  </si>
  <si>
    <t>David Mackenzie</t>
  </si>
  <si>
    <t>Jeff Bridges, Chris Pine, Ben Foster, Gil Birmingham</t>
  </si>
  <si>
    <t>A divorced dad and his ex-con brother resort to a desperate scheme in order to save their family's farm in West Texas.</t>
  </si>
  <si>
    <t>124126.0</t>
  </si>
  <si>
    <t>290820.0</t>
  </si>
  <si>
    <t>peacock, itunes, amzvid</t>
  </si>
  <si>
    <t>https://www.rottentomatoes.com/m/hell_or_high_water</t>
  </si>
  <si>
    <t>tt2582782</t>
  </si>
  <si>
    <t>Moonrise Kingdom</t>
  </si>
  <si>
    <t>Jared Gilman, Kara Hayward, Bruce Willis, Edward Norton</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</si>
  <si>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‚Äì and the peaceful island community is turned upside down in more ways than anyone can handle.</t>
  </si>
  <si>
    <t>Nominated for 1 Oscar. Another 49 wins &amp; 99 nominations.</t>
  </si>
  <si>
    <t>380053.0</t>
  </si>
  <si>
    <t>859763.0</t>
  </si>
  <si>
    <t>https://www.rottentomatoes.com/m/moonrise_kingdom</t>
  </si>
  <si>
    <t>tt1748122</t>
  </si>
  <si>
    <t>Being John Malkovich</t>
  </si>
  <si>
    <t>Comedy, Drama, Fantasy</t>
  </si>
  <si>
    <t>John Cusack, John Malkovich, Cameron Diaz, Catherine Keener</t>
  </si>
  <si>
    <t>One day at work, unsuccessful puppeteer Craig finds a portal into the head of actor John Malkovich. The portal soon becomes a passion for anybody who enters its mad and controlling world of overtaking another human body.</t>
  </si>
  <si>
    <t>Nominated for 3 Oscars. Another 46 wins &amp; 72 nominations.</t>
  </si>
  <si>
    <t>311216.0</t>
  </si>
  <si>
    <t>407637.0</t>
  </si>
  <si>
    <t>https://www.rottentomatoes.com/m/being_john_malkovich/</t>
  </si>
  <si>
    <t>tt0120601</t>
  </si>
  <si>
    <t>Rushmore</t>
  </si>
  <si>
    <t>Jason Schwartzman, Bill Murray, Olivia Williams, Seymour Cassel</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</si>
  <si>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</si>
  <si>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Nominated for 1 Golden Globe. Another 17 wins &amp; 13 nominations.</t>
  </si>
  <si>
    <t>248947.0</t>
  </si>
  <si>
    <t>373878.0</t>
  </si>
  <si>
    <t>https://www.rottentomatoes.com/m/rushmore</t>
  </si>
  <si>
    <t>tt0128445</t>
  </si>
  <si>
    <t>82.83</t>
  </si>
  <si>
    <t>The King of Kong: A Fistful of Quarters</t>
  </si>
  <si>
    <t>Seth Gordon</t>
  </si>
  <si>
    <t>Steve Wiebe, Billy Mitchell, Walter Day, Mark Alpiger</t>
  </si>
  <si>
    <t>In this hilarious arcade showdown, a humble novice goes head-to-head against the reigning Donkey Kong champ in a confrontation that rocks the gaming world to its processors! For over 20 years, Billy Mitchell has owned the throne of the Donkey Kong world. No one could beat his top score until now. Newcomer Steve Wiebe claims to have beaten the unbeatable, but Mitchell isn't ready to relinquish his crown without a fight. Go behind the barrels as the two battle it out in a vicious war to earn the title of the true King of Kong.</t>
  </si>
  <si>
    <t>11 wins &amp; 6 nominations.</t>
  </si>
  <si>
    <t>30025.0</t>
  </si>
  <si>
    <t>31535.0</t>
  </si>
  <si>
    <t>https://www.rottentomatoes.com/m/king_of_kong</t>
  </si>
  <si>
    <t>tt0923752</t>
  </si>
  <si>
    <t>Life of Brian</t>
  </si>
  <si>
    <t>Terry Jones</t>
  </si>
  <si>
    <t>Graham Chapman, John Cleese, Terry Gilliam, Eric Idle</t>
  </si>
  <si>
    <t>When a young, Jewish, and particularly average man Brian Cohen is mistaken for the Messiah. He finds the growing attention increasingly difficult to handle. His ridiculous circumstances lead to his attempts to avoid his besotted followers, a loyalist separatist movement, and content with the imperious and bombastic Pontius Pilate. Laced with Python‚Äôs surrealist absurd, the story parallels biblical folklore with what is now considered a legend classical British humor.</t>
  </si>
  <si>
    <t>278190.0</t>
  </si>
  <si>
    <t>316121.0</t>
  </si>
  <si>
    <t>prime, peacock, itunes, amzvid</t>
  </si>
  <si>
    <t>https://www.rottentomatoes.com/m/monty_pythons_life_of_brian</t>
  </si>
  <si>
    <t>tt0079470</t>
  </si>
  <si>
    <t>The Wind Rises</t>
  </si>
  <si>
    <t>Drama, Animation, Romance, War, History</t>
  </si>
  <si>
    <t>Hideaki Anno, Hidetoshi Nishijima, Miori Takimoto, Masahiko Nishimura</t>
  </si>
  <si>
    <t>A lifelong love of flight inspires Japanese aviation engineer Jiro Horikoshi, whose storied career includes the creation of the A-6M World War II fighter plane.</t>
  </si>
  <si>
    <t>Nominated for 1 Oscar. Another 26 wins &amp; 45 nominations.</t>
  </si>
  <si>
    <t>133289.0</t>
  </si>
  <si>
    <t>353433.0</t>
  </si>
  <si>
    <t>hbm, amzvid</t>
  </si>
  <si>
    <t>https://www.rottentomatoes.com/m/the_wind_rises</t>
  </si>
  <si>
    <t>tt2013293</t>
  </si>
  <si>
    <t>Bonnie and Clyde</t>
  </si>
  <si>
    <t>Arthur Penn</t>
  </si>
  <si>
    <t>Warren Beatty, Faye Dunaway, Michael J. Pollard, Gene Hackman</t>
  </si>
  <si>
    <t>In the 1930s, bored waitress Bonnie Parker falls in love with an ex-con named Clyde Barrow and together they start a violent crime spree through the country, stealing cars and robbing banks.</t>
  </si>
  <si>
    <t>Won 2 Oscars. Another 19 wins &amp; 26 nominations.</t>
  </si>
  <si>
    <t>Warner Brothers/Seven Arts</t>
  </si>
  <si>
    <t>79491.0</t>
  </si>
  <si>
    <t>124995.0</t>
  </si>
  <si>
    <t>https://www.rottentomatoes.com/m/bonnie_and_clyde</t>
  </si>
  <si>
    <t>tt0061418</t>
  </si>
  <si>
    <t>Sing Street</t>
  </si>
  <si>
    <t>Romance, Drama, Music, Comedy</t>
  </si>
  <si>
    <t>John Carney</t>
  </si>
  <si>
    <t>Ferdia Walsh-Peelo, Lucy Boynton, Jack Reynor, Ben Carolan</t>
  </si>
  <si>
    <t>A boy growing up in Dublin during the 1980s escapes his strained family life by starting a band to impress the mysterious girl he likes.</t>
  </si>
  <si>
    <t>102191.0</t>
  </si>
  <si>
    <t>272265.0</t>
  </si>
  <si>
    <t>https://www.rottentomatoes.com/m/sing_street</t>
  </si>
  <si>
    <t>tt3544112</t>
  </si>
  <si>
    <t>About Elly</t>
  </si>
  <si>
    <t>Golshifteh Farahani, Shahab Hosseini, Payman Maadi, Merila Zarei</t>
  </si>
  <si>
    <t>The mysterious disappearance of a kindergarten teacher during a picnic in the north of Iran is followed by a series of misadventures for her fellow travelers.</t>
  </si>
  <si>
    <t>13 wins &amp; 8 nominations.</t>
  </si>
  <si>
    <t>Cinema Guild</t>
  </si>
  <si>
    <t>17593.0</t>
  </si>
  <si>
    <t>37114.0</t>
  </si>
  <si>
    <t>https://www.rottentomatoes.com/m/about_elly</t>
  </si>
  <si>
    <t>tt1360860</t>
  </si>
  <si>
    <t>Hotel Rwanda</t>
  </si>
  <si>
    <t>Terry George</t>
  </si>
  <si>
    <t>Don Cheadle, Sophie Okonedo, Nick Nolte, Fana Mokoena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</si>
  <si>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</si>
  <si>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Nominated for 3 Oscars. Another 18 wins &amp; 37 nominations.</t>
  </si>
  <si>
    <t>198334.0</t>
  </si>
  <si>
    <t>111662.0</t>
  </si>
  <si>
    <t>https://www.rottentomatoes.com/m/hotel_rwanda</t>
  </si>
  <si>
    <t>tt0395169</t>
  </si>
  <si>
    <t>The Florida Project</t>
  </si>
  <si>
    <t>Sean Baker</t>
  </si>
  <si>
    <t>Brooklynn Prince, Bria Vinaite, Willem Dafoe, Christopher Rivera</t>
  </si>
  <si>
    <t>The story set over the period of one summer and is about an exceptionally smart young girl of the age of six. She, along with her diverse and motley group of friends, experiences adventure and wonder, whilst the adults invariably persist through hard times.</t>
  </si>
  <si>
    <t>269777.0</t>
  </si>
  <si>
    <t>781527.0</t>
  </si>
  <si>
    <t>https://www.rottentomatoes.com/m/the_florida_project</t>
  </si>
  <si>
    <t>tt5649144</t>
  </si>
  <si>
    <t>God's Own Country</t>
  </si>
  <si>
    <t>Francis Lee</t>
  </si>
  <si>
    <t>Josh O‚ÄôConnor, Alec SecƒÉreanu, Gemma Jones, Ian Hart</t>
  </si>
  <si>
    <t>A young farmer in rural Yorkshire numbs his daily frustrations with binge drinking and casual sex, until the arrival of a Romanian migrant worker.</t>
  </si>
  <si>
    <t>39645.0</t>
  </si>
  <si>
    <t>109702.0</t>
  </si>
  <si>
    <t>mubi, prime, itunes, amzvid</t>
  </si>
  <si>
    <t>https://www.rottentomatoes.com/m/gods_own_country_2017</t>
  </si>
  <si>
    <t>tt5635086</t>
  </si>
  <si>
    <t>Get Out</t>
  </si>
  <si>
    <t>Mystery, Thriller, Horror</t>
  </si>
  <si>
    <t>Jordan Peele</t>
  </si>
  <si>
    <t>Daniel Kaluuya, Allison Williams, Catherine Keener, Bradley Whitford</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</si>
  <si>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</si>
  <si>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1085375.0</t>
  </si>
  <si>
    <t>3098595.0</t>
  </si>
  <si>
    <t>netflix, hbo, itunes</t>
  </si>
  <si>
    <t>https://www.rottentomatoes.com/m/get_out</t>
  </si>
  <si>
    <t>tt5052448</t>
  </si>
  <si>
    <t>Am√©lie</t>
  </si>
  <si>
    <t>Jean-Pierre Jeunet</t>
  </si>
  <si>
    <t>Audrey Tautou, Mathieu Kassovitz, Rufus, Serge Merlin</t>
  </si>
  <si>
    <t>At a tiny Parisian caf√©, the adorable yet painfully shy Am√©lie accidentally discovers a gift for helping others. Soon Amelie is spending her days as a matchmaker, guardian angel, and all-around do-gooder. But when she bumps into a handsome stranger, will she find the courage to become the star of her very own love story?</t>
  </si>
  <si>
    <t>Nominated for 5 Oscars. Another 56 wins &amp; 62 nominations.</t>
  </si>
  <si>
    <t>621390.0</t>
  </si>
  <si>
    <t>925105.0</t>
  </si>
  <si>
    <t>https://www.rottentomatoes.com/m/amelie</t>
  </si>
  <si>
    <t>tt0211915</t>
  </si>
  <si>
    <t>The Farewell</t>
  </si>
  <si>
    <t>Lulu Wang</t>
  </si>
  <si>
    <t>Zhao Shuzhen, Awkwafina, X Mayo, Hong Lu</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</si>
  <si>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</si>
  <si>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103916.0</t>
  </si>
  <si>
    <t>299538.0</t>
  </si>
  <si>
    <t>https://www.rottentomatoes.com/m/the_farewell_2019</t>
  </si>
  <si>
    <t>tt8637428</t>
  </si>
  <si>
    <t>Soul</t>
  </si>
  <si>
    <t>Animation, Family, Comedy, Fantasy</t>
  </si>
  <si>
    <t>Jamie Foxx, Tina Fey, Graham Norton, Rachel House</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</si>
  <si>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</si>
  <si>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576362.0</t>
  </si>
  <si>
    <t>1712850.0</t>
  </si>
  <si>
    <t>https://www.rottentomatoes.com/m/soul_2020</t>
  </si>
  <si>
    <t>tt2948372</t>
  </si>
  <si>
    <t>High Noon</t>
  </si>
  <si>
    <t>Western, Drama</t>
  </si>
  <si>
    <t>Fred Zinnemann</t>
  </si>
  <si>
    <t>Gary Cooper, Thomas Mitchell, Lloyd Bridges, Grace Kelly</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</si>
  <si>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</si>
  <si>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Won 4 Oscars. Another 13 wins &amp; 10 nominations.</t>
  </si>
  <si>
    <t>40999.0</t>
  </si>
  <si>
    <t>71815.0</t>
  </si>
  <si>
    <t>https://www.rottentomatoes.com/m/1046060-high_noon</t>
  </si>
  <si>
    <t>tt0044706</t>
  </si>
  <si>
    <t>Fantastic Mr. Fox</t>
  </si>
  <si>
    <t>Adventure, Animation, Comedy, Family</t>
  </si>
  <si>
    <t>George Clooney, Meryl Streep, Jason Schwartzman, Wallace Wolodarsky</t>
  </si>
  <si>
    <t>The Fantastic Mr. Fox, bored with his current life, plans a heist against the three local farmers. The farmers, tired of sharing their chickens with the sly fox, seek revenge against him and his family.</t>
  </si>
  <si>
    <t>Nominated for 2 Oscars. Another 47 wins &amp; 35 nominations.</t>
  </si>
  <si>
    <t>705851.0</t>
  </si>
  <si>
    <t>1810535.0</t>
  </si>
  <si>
    <t>https://www.rottentomatoes.com/m/1197696_fantastic_mr_fox</t>
  </si>
  <si>
    <t>tt0432283</t>
  </si>
  <si>
    <t>The Second Mother</t>
  </si>
  <si>
    <t>Anna Muylaert</t>
  </si>
  <si>
    <t>Regina Cas√©, Camila M√°rdila, Karine Teles, Louren√ßo Mutarelli</t>
  </si>
  <si>
    <t>After leaving her daughter Jessica in a small town in Pernambuco to be raised by relatives, Val spends the next 13 years working as a nanny to Fabinho in S√£o Paulo. She has financial stability but has to live with the guilt of having not raised Jessica herself. As Fabinho‚Äôs university entrance exams approach, Jessica reappears in her life and seems to want to give her mother a second chance. However, Jessica has not been raised to be a servant and her very existence will turn Val‚Äôs routine on its head. With precision and humour, the subtle and powerful forces that keep rigid class structures in place and how the youth may just be the ones to shake it all up.</t>
  </si>
  <si>
    <t>5 wins &amp; 2 nominations.</t>
  </si>
  <si>
    <t>Oscilloscope Laboratories</t>
  </si>
  <si>
    <t>37837.0</t>
  </si>
  <si>
    <t>109131.0</t>
  </si>
  <si>
    <t>https://www.rottentomatoes.com/m/the_second_mother</t>
  </si>
  <si>
    <t>tt3742378</t>
  </si>
  <si>
    <t>Godzilla Minus One</t>
  </si>
  <si>
    <t>Science Fiction, Horror, Action</t>
  </si>
  <si>
    <t>Takashi Yamazaki</t>
  </si>
  <si>
    <t>Ryunosuke Kamiki, Minami Hamabe, Yuki Yamada, Munetaka Aoki</t>
  </si>
  <si>
    <t>In postwar Japan, Godzilla brings new devastation to an already scorched landscape. With no military intervention or government help in sight, the survivors must join together in the face of despair and fight back against an unrelenting horror.</t>
  </si>
  <si>
    <t>237844.0</t>
  </si>
  <si>
    <t>692084.0</t>
  </si>
  <si>
    <t>https://www.rottentomatoes.com/m/godzilla_minus_one</t>
  </si>
  <si>
    <t>tt23289160</t>
  </si>
  <si>
    <t>82.8</t>
  </si>
  <si>
    <t>Nosferatu</t>
  </si>
  <si>
    <t>Horror, Fantasy</t>
  </si>
  <si>
    <t>F. W. Murnau</t>
  </si>
  <si>
    <t>Max Schreck, Gustav von Wangenheim, Greta Schr√∂der, Georg H. Schnell</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</si>
  <si>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 Meanwhile Orlok's servant, Knock, prepares for his master to arrive at his new home.</t>
  </si>
  <si>
    <t>Film Arts Guild</t>
  </si>
  <si>
    <t>142118.0</t>
  </si>
  <si>
    <t>329860.0</t>
  </si>
  <si>
    <t>https://www.rottentomatoes.com/m/nosferatu</t>
  </si>
  <si>
    <t>tt0013442</t>
  </si>
  <si>
    <t>La Chimera</t>
  </si>
  <si>
    <t>Drama, Fantasy, Comedy</t>
  </si>
  <si>
    <t>Alice Rohrwacher</t>
  </si>
  <si>
    <t>Josh O‚ÄôConnor, Carol Duarte, Alba Rohrwacher, Isabella Rossellini</t>
  </si>
  <si>
    <t>Just out of jail, rumpled English archaeologist Arthur reconnects with his wayward crew of tombaroli accomplices ‚Äì a happy-go-lucky collective of itinerant grave-robbers who survive by looting Etruscan tombs and fencing the ancient treasures they dig up.</t>
  </si>
  <si>
    <t>73.0</t>
  </si>
  <si>
    <t>64020.0</t>
  </si>
  <si>
    <t>192062.0</t>
  </si>
  <si>
    <t>https://www.rottentomatoes.com/m/la_chimera</t>
  </si>
  <si>
    <t>tt14561712</t>
  </si>
  <si>
    <t>The Worst Person in the World</t>
  </si>
  <si>
    <t>Joachim Trier</t>
  </si>
  <si>
    <t>Renate Reinsve, Anders Danielsen Lie, Herbert Nordrum, Hans Olav Brenner</t>
  </si>
  <si>
    <t>no</t>
  </si>
  <si>
    <t>The chronicles of four years in the life of Julie, a young woman who navigates the troubled waters of her love life and struggles to find her career path, leading her to take a realistic look at who she really is.</t>
  </si>
  <si>
    <t>220149.0</t>
  </si>
  <si>
    <t>658493.0</t>
  </si>
  <si>
    <t>https://www.rottentomatoes.com/m/the_worst_person_in_the_world</t>
  </si>
  <si>
    <t>tt10370710</t>
  </si>
  <si>
    <t>Carol</t>
  </si>
  <si>
    <t>Todd Haynes</t>
  </si>
  <si>
    <t>Cate Blanchett, Rooney Mara, Kyle Chandler, Jake Lacy</t>
  </si>
  <si>
    <t>In 1950s New York, a department-store clerk who dreams of a better life falls for an older, married woman.</t>
  </si>
  <si>
    <t>185804.0</t>
  </si>
  <si>
    <t>496700.0</t>
  </si>
  <si>
    <t>https://www.rottentomatoes.com/m/carol</t>
  </si>
  <si>
    <t>tt2402927</t>
  </si>
  <si>
    <t>82.67</t>
  </si>
  <si>
    <t>Hunt for the Wilderpeople</t>
  </si>
  <si>
    <t>Adventure, Comedy, Drama</t>
  </si>
  <si>
    <t>Taika Waititi</t>
  </si>
  <si>
    <t>Sam Neill, Julian Dennison, Rima Te Wiata, Rachel House</t>
  </si>
  <si>
    <t>Ricky is a defiant young city kid who finds himself on the run with his cantankerous foster uncle in the wild New Zealand bush. A national manhunt ensues, and the two are forced to put aside their differences and work together to survive.</t>
  </si>
  <si>
    <t>120665.0</t>
  </si>
  <si>
    <t>311081.0</t>
  </si>
  <si>
    <t>https://www.rottentomatoes.com/m/hunt_for_the_wilderpeople/</t>
  </si>
  <si>
    <t>tt4698684</t>
  </si>
  <si>
    <t>Once</t>
  </si>
  <si>
    <t>Drama, Music, Romance</t>
  </si>
  <si>
    <t>Glen Hansard, Mark√©ta Irglov√°, Hugh Walsh, Gerard Hendrick</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</si>
  <si>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</si>
  <si>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Won 1 Oscar. Another 21 wins &amp; 27 nominations.</t>
  </si>
  <si>
    <t>158469.0</t>
  </si>
  <si>
    <t>93064.0</t>
  </si>
  <si>
    <t>peacock, disney, itunes, amzvid</t>
  </si>
  <si>
    <t>https://www.rottentomatoes.com/m/once</t>
  </si>
  <si>
    <t>tt0907657</t>
  </si>
  <si>
    <t>Shrek</t>
  </si>
  <si>
    <t>Animation, Comedy, Fantasy, Adventure, Family</t>
  </si>
  <si>
    <t>Andrew Adamson, Vicky Jenson</t>
  </si>
  <si>
    <t>Mike Myers, Eddie Murphy, Cameron Diaz, John Lithgow</t>
  </si>
  <si>
    <t>It ain't easy bein' green -- especially if you're a likable (albeit smelly) ogre named Shrek. On a mission to retrieve a gorgeous princess from the clutches of a fire-breathing dragon, Shrek teams up with an unlikely compatriot -- a wisecracking donkey.</t>
  </si>
  <si>
    <t>Won 1 Oscar. Another 36 wins &amp; 51 nominations.</t>
  </si>
  <si>
    <t>Dreamworks</t>
  </si>
  <si>
    <t>1511622.0</t>
  </si>
  <si>
    <t>1777380.0</t>
  </si>
  <si>
    <t>peacock, hulu, itunes, amzvid</t>
  </si>
  <si>
    <t>https://www.rottentomatoes.com/m/shrek</t>
  </si>
  <si>
    <t>tt0126029</t>
  </si>
  <si>
    <t>The Wrestler</t>
  </si>
  <si>
    <t>Darren Aronofsky</t>
  </si>
  <si>
    <t>Mickey Rourke, Marisa Tomei, Evan Rachel Wood, Mark Margolis</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</si>
  <si>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</si>
  <si>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Nominated for 2 Oscars. Another 61 wins &amp; 53 nominations.</t>
  </si>
  <si>
    <t>155576.0</t>
  </si>
  <si>
    <t>185017.0</t>
  </si>
  <si>
    <t>hulu, disney, itunes, amzvid, hbm</t>
  </si>
  <si>
    <t>https://www.rottentomatoes.com/m/the_wrestler</t>
  </si>
  <si>
    <t>tt1125849</t>
  </si>
  <si>
    <t>The Artist</t>
  </si>
  <si>
    <t>Drama, Comedy, Romance</t>
  </si>
  <si>
    <t>Michel Hazanavicius</t>
  </si>
  <si>
    <t>Jean Dujardin, B√©r√©nice Bejo, John Goodman, James Cromwell</t>
  </si>
  <si>
    <t>George Valentin, a silent movie icon, falls in love with Peppy Miller, an up-and-coming young dancer. Set in 1927 Hollywood, as talking pictures are becoming popular, George must cope with the possibility of his career fading away.</t>
  </si>
  <si>
    <t>Won 5 Oscars. Another 156 wins &amp; 152 nominations.</t>
  </si>
  <si>
    <t>88332.0</t>
  </si>
  <si>
    <t>147420.0</t>
  </si>
  <si>
    <t>https://www.rottentomatoes.com/m/the_artist</t>
  </si>
  <si>
    <t>tt1655442</t>
  </si>
  <si>
    <t>Mr. Smith Goes to Washington</t>
  </si>
  <si>
    <t>James Stewart, Jean Arthur, Claude Rains, Edward Arnold</t>
  </si>
  <si>
    <t>After the death of a United States Senator, idealistic Jefferson Smith is appointed as his replacement in Washington. Soon, the naive and earnest new senator has to battle political corruption.</t>
  </si>
  <si>
    <t>Won 1 Oscar. Another 4 wins &amp; 11 nominations.</t>
  </si>
  <si>
    <t>ITVS</t>
  </si>
  <si>
    <t>50349.0</t>
  </si>
  <si>
    <t>59111.0</t>
  </si>
  <si>
    <t>https://www.rottentomatoes.com/m/mr_smith_goes_to_washington/</t>
  </si>
  <si>
    <t>tt0031679</t>
  </si>
  <si>
    <t>Hero</t>
  </si>
  <si>
    <t>Drama, Adventure, Action, History</t>
  </si>
  <si>
    <t>Zhang Yimou</t>
  </si>
  <si>
    <t>Jet Li, Tony Leung, Maggie Cheung, Donnie Yen</t>
  </si>
  <si>
    <t>During China's Warring States period, a district prefect arrives at the palace of Qin Shi Huang, claiming to have killed the three assassins who had made an attempt on the king's life three years ago.</t>
  </si>
  <si>
    <t>197619.0</t>
  </si>
  <si>
    <t>93431.0</t>
  </si>
  <si>
    <t>https://www.rottentomatoes.com/m/hero</t>
  </si>
  <si>
    <t>tt0299977</t>
  </si>
  <si>
    <t>The Shining</t>
  </si>
  <si>
    <t>Jack Nicholson, Shelley Duvall, Danny Lloyd, Scatman Crothers</t>
  </si>
  <si>
    <t>Jack Torrance accepts a caretaker job at the Overlook Hotel, where he, along with his wife Wendy and their son Danny, must live isolated from the rest of the world for the winter. But they aren't prepared for the madness that lurks within.</t>
  </si>
  <si>
    <t>3 wins &amp; 5 nominations.</t>
  </si>
  <si>
    <t>68.0</t>
  </si>
  <si>
    <t>1061936.0</t>
  </si>
  <si>
    <t>2218109.0</t>
  </si>
  <si>
    <t>https://www.rottentomatoes.com/m/shining/</t>
  </si>
  <si>
    <t>tt0081505</t>
  </si>
  <si>
    <t>Exit Through the Gift Shop</t>
  </si>
  <si>
    <t>Banksy</t>
  </si>
  <si>
    <t>Rhys Ifans, Thierry Guetta, Banksy, Shepard Fairey</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</si>
  <si>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</si>
  <si>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Nominated for 1 Oscar. Another 26 wins &amp; 23 nominations.</t>
  </si>
  <si>
    <t>Abarorama</t>
  </si>
  <si>
    <t>35498.0</t>
  </si>
  <si>
    <t>56964.0</t>
  </si>
  <si>
    <t>https://www.rottentomatoes.com/m/exit_through_the_gift_shop%2F</t>
  </si>
  <si>
    <t>tt1587707</t>
  </si>
  <si>
    <t>Let the Right One In</t>
  </si>
  <si>
    <t>Horror, Drama</t>
  </si>
  <si>
    <t>Tomas Alfredson</t>
  </si>
  <si>
    <t>K√•re Hedebrant, Lina Leandersson, Per Ragnar, Henrik Dahl</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</si>
  <si>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</si>
  <si>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Nominated for 1 BAFTA Film Award. Another 72 wins &amp; 42 nominations.</t>
  </si>
  <si>
    <t>Magnet/Magnolia Pictures</t>
  </si>
  <si>
    <t>104611.0</t>
  </si>
  <si>
    <t>190294.0</t>
  </si>
  <si>
    <t>https://www.rottentomatoes.com/m/let_the_right_one_in</t>
  </si>
  <si>
    <t>tt1139797</t>
  </si>
  <si>
    <t>Anora</t>
  </si>
  <si>
    <t>Mikey Madison, Mark Eydelshteyn, Yura Borisov, Karren Karagulian</t>
  </si>
  <si>
    <t>A young sex worker from Brooklyn gets her chance at a Cinderella story when she meets and impulsively marries the son of an oligarch. Once the news reaches Russia, her fairytale is threatened as his parents set out to get the marriage annulled.</t>
  </si>
  <si>
    <t>1494086.0</t>
  </si>
  <si>
    <t>https://www.rottentomatoes.com/m/anora</t>
  </si>
  <si>
    <t>tt28607951</t>
  </si>
  <si>
    <t>82.6</t>
  </si>
  <si>
    <t>Close</t>
  </si>
  <si>
    <t>Lukas Dhont</t>
  </si>
  <si>
    <t>Eden Dambrine, Gustav De Waele, √âmilie Dequenne, L√©a Drucker</t>
  </si>
  <si>
    <t>Two 13-year-old boys spend an idyllic summer together, but their connection is put to the test when they become the subject of speculation at school.</t>
  </si>
  <si>
    <t>120210.0</t>
  </si>
  <si>
    <t>359461.0</t>
  </si>
  <si>
    <t>paramount</t>
  </si>
  <si>
    <t>https://www.rottentomatoes.com/m/close_2022</t>
  </si>
  <si>
    <t>tt9660502</t>
  </si>
  <si>
    <t>The Banshees of Inisherin</t>
  </si>
  <si>
    <t>Drama, Comedy</t>
  </si>
  <si>
    <t>Colin Farrell, Brendan Gleeson, Kerry Condon, Barry Keoghan</t>
  </si>
  <si>
    <t>Two lifelong friends find themselves at an impasse when one abruptly ends their relationship, with alarming consequences for both of them.</t>
  </si>
  <si>
    <t>343964.0</t>
  </si>
  <si>
    <t>1020113.0</t>
  </si>
  <si>
    <t>https://www.rottentomatoes.com/m/the_banshees_of_inisherin</t>
  </si>
  <si>
    <t>tt11813216</t>
  </si>
  <si>
    <t>Little Miss Sunshine</t>
  </si>
  <si>
    <t>Jonathan Dayton, Valerie Faris</t>
  </si>
  <si>
    <t>Greg Kinnear, Toni Collette, Steve Carell, Paul Dano</t>
  </si>
  <si>
    <t>A family loaded with quirky, colorful characters piles into an old van and road trips to California for little Olive to compete in a beauty pageant.</t>
  </si>
  <si>
    <t>Won 2 Oscars. Another 65 wins &amp; 96 nominations.</t>
  </si>
  <si>
    <t>765429.0</t>
  </si>
  <si>
    <t>1440499.0</t>
  </si>
  <si>
    <t>https://www.rottentomatoes.com/m/little_miss_sunshine</t>
  </si>
  <si>
    <t>tt0449059</t>
  </si>
  <si>
    <t>82.5</t>
  </si>
  <si>
    <t>Who Framed Roger Rabbit</t>
  </si>
  <si>
    <t>Fantasy, Animation, Comedy, Crime</t>
  </si>
  <si>
    <t>Bob Hoskins, Christopher Lloyd, Joanna Cassidy, Charles Fleischer</t>
  </si>
  <si>
    <t>'Toon star Roger is worried that his wife Jessica is playing pattycake with someone else, so the studio hires detective Eddie Valiant to snoop on her. But the stakes are quickly raised when Marvin Acme is found dead and Roger is the prime suspect.</t>
  </si>
  <si>
    <t>Won 3 Oscars. Another 19 wins &amp; 21 nominations.</t>
  </si>
  <si>
    <t>407748.0</t>
  </si>
  <si>
    <t>336854.0</t>
  </si>
  <si>
    <t>https://www.rottentomatoes.com/m/who_framed_roger_rabbit</t>
  </si>
  <si>
    <t>tt0096438</t>
  </si>
  <si>
    <t>Ponyo</t>
  </si>
  <si>
    <t>Animation, Fantasy, Family</t>
  </si>
  <si>
    <t>Yuria Kozuki, Hiroki Doi, George Tokoro, Tomoko Yamaguchi</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</si>
  <si>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</si>
  <si>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11 wins &amp; 15 nominations.</t>
  </si>
  <si>
    <t>346409.0</t>
  </si>
  <si>
    <t>843361.0</t>
  </si>
  <si>
    <t>https://www.rottentomatoes.com/m/ponyo</t>
  </si>
  <si>
    <t>tt0876563</t>
  </si>
  <si>
    <t>Quiz Show</t>
  </si>
  <si>
    <t>History, Drama, Mystery</t>
  </si>
  <si>
    <t>Robert Redford</t>
  </si>
  <si>
    <t>Ralph Fiennes, Rob Morrow, John Turturro, Paul Scofield</t>
  </si>
  <si>
    <t>Herbert Stempel's transformation into an unexpected television personality unfolds as he secures victory on the cherished American game show, 'Twenty-One.' However, when the show introduces the highly skilled contestant Charles Van Doren to replace Stempel, it compels Stempel to let out his frustrations and call out the show as rigged. Lawyer Richard Goodwin steps in and attempts to uncover the orchestrated deception behind the scenes.</t>
  </si>
  <si>
    <t>Nominated for 4 Oscars. Another 13 wins &amp; 14 nominations.</t>
  </si>
  <si>
    <t>Buena Vista Internationa</t>
  </si>
  <si>
    <t>36625.0</t>
  </si>
  <si>
    <t>46508.0</t>
  </si>
  <si>
    <t>https://www.rottentomatoes.com/m/quiz_show/</t>
  </si>
  <si>
    <t>tt0110932</t>
  </si>
  <si>
    <t>Snow White and the Seven Dwarfs</t>
  </si>
  <si>
    <t>David Hand, Ben Sharpsteen, William Cottrell, Larry Morey, Perce Pearce, Wilfred Jackson</t>
  </si>
  <si>
    <t>Adriana Caselotti, Lucille La Verne, Harry Stockwell, Roy Atwell</t>
  </si>
  <si>
    <t>A beautiful girl, Snow White, takes refuge in the forest in the house of seven dwarfs to hide from her stepmother, the wicked Queen. The Queen is jealous because she wants to be known as "the fairest in the land," and Snow White's beauty surpasses her own.</t>
  </si>
  <si>
    <t>454795.0</t>
  </si>
  <si>
    <t>422740.0</t>
  </si>
  <si>
    <t>https://www.rottentomatoes.com/m/1048445%2Dsnow_white_and_the_seven_dwarfs</t>
  </si>
  <si>
    <t>tt0029583</t>
  </si>
  <si>
    <t>82.4</t>
  </si>
  <si>
    <t>Se7en</t>
  </si>
  <si>
    <t>Crime, Mystery, Thriller</t>
  </si>
  <si>
    <t>Morgan Freeman, Brad Pitt, Gwyneth Paltrow, John Cassini</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</si>
  <si>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</si>
  <si>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Nominated for 1 Oscar. Another 25 wins &amp; 31 nominations.</t>
  </si>
  <si>
    <t>65.0</t>
  </si>
  <si>
    <t>1066629.0</t>
  </si>
  <si>
    <t>2259303.0</t>
  </si>
  <si>
    <t>https://www.rottentomatoes.com/m/seven</t>
  </si>
  <si>
    <t>tt0114369</t>
  </si>
  <si>
    <t>82.33</t>
  </si>
  <si>
    <t>The Bourne Ultimatum</t>
  </si>
  <si>
    <t>Action, Drama, Mystery, Thriller</t>
  </si>
  <si>
    <t>Paul Greengrass</t>
  </si>
  <si>
    <t>Matt Damon, Julia Stiles, David Strathairn, Scott Glenn</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</si>
  <si>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</si>
  <si>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Won 3 Oscars. Another 25 wins &amp; 35 nominations.</t>
  </si>
  <si>
    <t>1363138.0</t>
  </si>
  <si>
    <t>243104.0</t>
  </si>
  <si>
    <t>tt0440963</t>
  </si>
  <si>
    <t>This Is England</t>
  </si>
  <si>
    <t>Shane Meadows</t>
  </si>
  <si>
    <t>Thomas Turgoose, Stephen Graham, Jo Hartley, Andrew Shim</t>
  </si>
  <si>
    <t>A story about a troubled boy growing up in England, set in 1983. He comes across a few skinheads on his way home from school, after a fight. They become his new best friends, even like family. Based on experiences of director Shane Meadows.</t>
  </si>
  <si>
    <t>Nominated for 1 BAFTA Film Award. Another 14 wins &amp; 14 nominations.</t>
  </si>
  <si>
    <t>68178.0</t>
  </si>
  <si>
    <t>94846.0</t>
  </si>
  <si>
    <t>https://www.rottentomatoes.com/m/this_is_england</t>
  </si>
  <si>
    <t>tt0480025</t>
  </si>
  <si>
    <t>Short Term 12</t>
  </si>
  <si>
    <t>Destin Daniel Cretton</t>
  </si>
  <si>
    <t>Brie Larson, John Gallagher Jr., Kaitlyn Dever, Rami Malek</t>
  </si>
  <si>
    <t>Grace, a compassionate young supervisor at a foster care facility, helps at-risk teens. But when a new charge dredges up memories of her own troubled past, Grace's tough exterior begins eroding.</t>
  </si>
  <si>
    <t>38 wins &amp; 58 nominations.</t>
  </si>
  <si>
    <t>58097.0</t>
  </si>
  <si>
    <t>131005.0</t>
  </si>
  <si>
    <t>https://www.rottentomatoes.com/m/short_term_12_2013</t>
  </si>
  <si>
    <t>tt2370248</t>
  </si>
  <si>
    <t>Casino Royale</t>
  </si>
  <si>
    <t>Martin Campbell</t>
  </si>
  <si>
    <t>Daniel Craig, Eva Green, Mads Mikkelsen, Judi Dench</t>
  </si>
  <si>
    <t>Le Chiffre, a banker to the world's terrorists, is scheduled to participate in a high-stakes poker game in Montenegro, where he intends to use his winnings to establish his financial grip on the terrorist market. M sends Bond‚Äîon his maiden mission as a 00 Agent‚Äîto attend this game and prevent Le Chiffre from winning. With the help of Vesper Lynd and Felix Leiter, Bond enters the most important poker game in his already dangerous career.</t>
  </si>
  <si>
    <t>Won 1 BAFTA Film Award. Another 26 wins &amp; 34 nominations.</t>
  </si>
  <si>
    <t>Sony</t>
  </si>
  <si>
    <t>691353.0</t>
  </si>
  <si>
    <t>663848.0</t>
  </si>
  <si>
    <t>https://www.rottentomatoes.com/m/casino_royale</t>
  </si>
  <si>
    <t>tt0381061</t>
  </si>
  <si>
    <t>Anatomy of a Fall</t>
  </si>
  <si>
    <t>Thriller, Mystery, Crime</t>
  </si>
  <si>
    <t>Justine Triet</t>
  </si>
  <si>
    <t>Sandra H√ºller, Swann Arlaud, Milo Machado-Graner, Antoine Reinartz</t>
  </si>
  <si>
    <t>A woman is suspected of her husband's murder, and their blind son faces a moral dilemma as the sole witness.</t>
  </si>
  <si>
    <t>397269.0</t>
  </si>
  <si>
    <t>1188175.0</t>
  </si>
  <si>
    <t>https://www.rottentomatoes.com/m/anatomy_of_a_fall</t>
  </si>
  <si>
    <t>tt17009710</t>
  </si>
  <si>
    <t>82.2</t>
  </si>
  <si>
    <t>Petite maman</t>
  </si>
  <si>
    <t>Drama, Fantasy, Family</t>
  </si>
  <si>
    <t>Jos√©phine Sanz, Gabrielle Sanz, Nina Meurisse, St√©phane Varupenne</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</si>
  <si>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</si>
  <si>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42982.0</t>
  </si>
  <si>
    <t>128593.0</t>
  </si>
  <si>
    <t>https://www.rottentomatoes.com/m/petite_maman</t>
  </si>
  <si>
    <t>tt13204490</t>
  </si>
  <si>
    <t>Another Round</t>
  </si>
  <si>
    <t>Mads Mikkelsen, Thomas Bo Larsen, Magnus Millang, Lars Ranthe</t>
  </si>
  <si>
    <t>Four high school teachers launch a drinking experiment: upholding a constant low level of intoxication.</t>
  </si>
  <si>
    <t>180599.0</t>
  </si>
  <si>
    <t>538911.0</t>
  </si>
  <si>
    <t>https://www.rottentomatoes.com/m/another_round</t>
  </si>
  <si>
    <t>tt10288566</t>
  </si>
  <si>
    <t>82.17</t>
  </si>
  <si>
    <t>Roma</t>
  </si>
  <si>
    <t>Yalitza Aparicio, Marina de Tavira, Diego Cortina Autrey, Carlos Peralta</t>
  </si>
  <si>
    <t>In 1970s Mexico City, two domestic workers help a mother of four while her husband is away for an extended period of time.</t>
  </si>
  <si>
    <t>141177.0</t>
  </si>
  <si>
    <t>411571.0</t>
  </si>
  <si>
    <t>https://www.rottentomatoes.com/m/roma_2018</t>
  </si>
  <si>
    <t>tt6155172</t>
  </si>
  <si>
    <t>Roman Holiday</t>
  </si>
  <si>
    <t>Romance, Comedy, Drama</t>
  </si>
  <si>
    <t>Audrey Hepburn, Gregory Peck, Eddie Albert, Hartley Power</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</si>
  <si>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</si>
  <si>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Won 3 Oscars. Another 7 wins &amp; 15 nominations.</t>
  </si>
  <si>
    <t>108625.0</t>
  </si>
  <si>
    <t>198567.0</t>
  </si>
  <si>
    <t>https://www.rottentomatoes.com/m/roman_holiday</t>
  </si>
  <si>
    <t>tt0046250</t>
  </si>
  <si>
    <t>The Matrix</t>
  </si>
  <si>
    <t>Action, Science Fiction</t>
  </si>
  <si>
    <t>Lana Wachowski, Lilly Wachowski</t>
  </si>
  <si>
    <t>Keanu Reeves, Laurence Fishburne, Carrie-Anne Moss, Hugo Weaving</t>
  </si>
  <si>
    <t>Set in the 22nd century, The Matrix tells the story of a computer hacker who joins a group of underground insurgents fighting the vast and powerful computers who now rule the earth.</t>
  </si>
  <si>
    <t>Won 4 Oscars. Another 33 wins &amp; 40 nominations.</t>
  </si>
  <si>
    <t>22870385.0</t>
  </si>
  <si>
    <t>1962752.0</t>
  </si>
  <si>
    <t>tt0133093</t>
  </si>
  <si>
    <t>Brooklyn</t>
  </si>
  <si>
    <t>Romance, Drama, History</t>
  </si>
  <si>
    <t>John Crowley</t>
  </si>
  <si>
    <t>Saoirse Ronan, Domhnall Gleeson, Emory Cohen, Jim Broadbent</t>
  </si>
  <si>
    <t>In 1950s Ireland and New York, young Eilis Lacey has to choose between two men and two countries.</t>
  </si>
  <si>
    <t>98812.0</t>
  </si>
  <si>
    <t>202318.0</t>
  </si>
  <si>
    <t>https://www.rottentomatoes.com/m/brooklyn</t>
  </si>
  <si>
    <t>tt2381111</t>
  </si>
  <si>
    <t>Letters from Iwo Jima</t>
  </si>
  <si>
    <t>Action, Drama, War</t>
  </si>
  <si>
    <t>Ken Watanabe, Kazunari Ninomiya, Tsuyoshi Ihara, Ryo Kase</t>
  </si>
  <si>
    <t>The story of the battle of Iwo Jima between the United States and Imperial Japan during World War II, as told from the perspective of the Japanese who fought it.</t>
  </si>
  <si>
    <t>Won 1 Oscar. Another 28 wins &amp; 23 nominations.</t>
  </si>
  <si>
    <t>245983.0</t>
  </si>
  <si>
    <t>55455.0</t>
  </si>
  <si>
    <t>https://www.rottentomatoes.com/m/letters_from_iwo_jima</t>
  </si>
  <si>
    <t>tt0498380</t>
  </si>
  <si>
    <t>Harry Potter and the Prisoner of Azkaban</t>
  </si>
  <si>
    <t>Adventure, Fantasy</t>
  </si>
  <si>
    <t>Daniel Radcliffe, Rupert Grint, Emma Watson, Robbie Coltrane</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</si>
  <si>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</si>
  <si>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Nominated for 2 Oscars. Another 13 wins &amp; 40 nominations.</t>
  </si>
  <si>
    <t>1415939.0</t>
  </si>
  <si>
    <t>1907407.0</t>
  </si>
  <si>
    <t>peacock, hbo, itunes, hbm</t>
  </si>
  <si>
    <t>https://www.rottentomatoes.com/m/harry_potter_and_the_prisoner_of_azkaban</t>
  </si>
  <si>
    <t>tt0304141</t>
  </si>
  <si>
    <t>Talk to Her</t>
  </si>
  <si>
    <t>Leonor Watling, Rosario Flores, Javier C√°mara, Dar√≠o Grandinetti</t>
  </si>
  <si>
    <t>Two men share an odd friendship while they care for two women who are both in deep comas.</t>
  </si>
  <si>
    <t>64196.0</t>
  </si>
  <si>
    <t>86386.0</t>
  </si>
  <si>
    <t>https://www.rottentomatoes.com/m/talk_to_her</t>
  </si>
  <si>
    <t>tt0287467</t>
  </si>
  <si>
    <t>Shaun of the Dead</t>
  </si>
  <si>
    <t>Horror, Comedy</t>
  </si>
  <si>
    <t>Edgar Wright</t>
  </si>
  <si>
    <t>Simon Pegg, Nick Frost, Kate Ashfield, Lucy Davis</t>
  </si>
  <si>
    <t>Shaun lives a supremely uneventful life, which revolves around his girlfriend, his mother, and, above all, his local pub. This gentle routine is threatened when the dead return to life and make strenuous attempts to snack on ordinary Londoners.</t>
  </si>
  <si>
    <t>11 wins &amp; 17 nominations.</t>
  </si>
  <si>
    <t>640908.0</t>
  </si>
  <si>
    <t>923980.0</t>
  </si>
  <si>
    <t>https://www.rottentomatoes.com/m/shaun_of_the_dead/</t>
  </si>
  <si>
    <t>tt0365748</t>
  </si>
  <si>
    <t>Pain and Glory</t>
  </si>
  <si>
    <t>Antonio Banderas, Asier Etxeandia, Leonardo Sbaraglia, Nora Navas</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</si>
  <si>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</si>
  <si>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50524.0</t>
  </si>
  <si>
    <t>148033.0</t>
  </si>
  <si>
    <t>https://www.rottentomatoes.com/m/pain_and_glory</t>
  </si>
  <si>
    <t>tt8291806</t>
  </si>
  <si>
    <t>The Exorcist</t>
  </si>
  <si>
    <t>Horror</t>
  </si>
  <si>
    <t>Ellen Burstyn, Linda Blair, Jason Miller, Max von Sydow</t>
  </si>
  <si>
    <t>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</si>
  <si>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Won 2 Oscars. Another 14 wins &amp; 14 nominations.</t>
  </si>
  <si>
    <t>529464.0</t>
  </si>
  <si>
    <t>745296.0</t>
  </si>
  <si>
    <t>https://www.rottentomatoes.com/m/exorcist</t>
  </si>
  <si>
    <t>tt0070047</t>
  </si>
  <si>
    <t>Wild Tales</t>
  </si>
  <si>
    <t>Drama, Thriller, Comedy</t>
  </si>
  <si>
    <t>Dami√°n Szifron</t>
  </si>
  <si>
    <t>Ricardo Dar√≠n, Leonardo Sbaraglia, √ârica Rivas, Oscar Mart√≠nez</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</si>
  <si>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</si>
  <si>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Nominated for 1 Oscar. Another 42 wins &amp; 44 nominations.</t>
  </si>
  <si>
    <t>76384.0</t>
  </si>
  <si>
    <t>199938.0</t>
  </si>
  <si>
    <t>starz, amzvid</t>
  </si>
  <si>
    <t>https://www.rottentomatoes.com/m/wild_tales</t>
  </si>
  <si>
    <t>tt3011894</t>
  </si>
  <si>
    <t>Gravity</t>
  </si>
  <si>
    <t>Science Fiction, Thriller, Drama</t>
  </si>
  <si>
    <t>Sandra Bullock, George Clooney, Ed Harris, Orto Ignatiussen</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</si>
  <si>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</si>
  <si>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Won 7 Oscars. Another 224 wins &amp; 135 nominations.</t>
  </si>
  <si>
    <t>441081.0</t>
  </si>
  <si>
    <t>715076.0</t>
  </si>
  <si>
    <t>https://www.rottentomatoes.com/m/gravity_2013</t>
  </si>
  <si>
    <t>tt1454468</t>
  </si>
  <si>
    <t>Freaks</t>
  </si>
  <si>
    <t>Drama, Horror</t>
  </si>
  <si>
    <t>Tod Browning</t>
  </si>
  <si>
    <t>Harry Earles, Olga Baclanova, Daisy Earles, Henry Victor</t>
  </si>
  <si>
    <t>A circus' beautiful trapeze artist agrees to marry the leader of side-show performers, but his deformed friends discover she is only marrying him for his inheritance.</t>
  </si>
  <si>
    <t>45243.0</t>
  </si>
  <si>
    <t>86537.0</t>
  </si>
  <si>
    <t>https://www.rottentomatoes.com/m/freaks</t>
  </si>
  <si>
    <t>tt0022913</t>
  </si>
  <si>
    <t>Mother</t>
  </si>
  <si>
    <t>Kim Hye-ja, Won Bin, Jin Goo, Yoon Je-moon</t>
  </si>
  <si>
    <t>A mother lives quietly with her son. One day, a girl is brutally killed, and the boy is charged with the murder. Now, it's his mother's mission to prove him innocent.</t>
  </si>
  <si>
    <t>24 wins &amp; 29 nominations.</t>
  </si>
  <si>
    <t>59945.0</t>
  </si>
  <si>
    <t>147147.0</t>
  </si>
  <si>
    <t>https://www.rottentomatoes.com/m/madeo</t>
  </si>
  <si>
    <t>tt1216496</t>
  </si>
  <si>
    <t>Mustang</t>
  </si>
  <si>
    <t>Deniz Gamze Erg√ºven</t>
  </si>
  <si>
    <t>G√ºne≈ü Nezihe ≈ûensoy, Doƒüa Zeynep Doƒüu≈ülu, Elit ƒ∞≈ücan, Tuƒüba Sunguroƒülu</t>
  </si>
  <si>
    <t>In a Turkish village, five orphaned sisters live under strict rule while members of their family prepare their arranged marriages.</t>
  </si>
  <si>
    <t>38286.0</t>
  </si>
  <si>
    <t>97313.0</t>
  </si>
  <si>
    <t>https://www.rottentomatoes.com/m/mustang_2015</t>
  </si>
  <si>
    <t>tt3966404</t>
  </si>
  <si>
    <t>Everything Everywhere All at Once</t>
  </si>
  <si>
    <t>Daniel Scheinert, Daniel Kwan</t>
  </si>
  <si>
    <t>Michelle Yeoh, Stephanie Hsu, Ke Huy Quan, James Hong</t>
  </si>
  <si>
    <t>An aging Chinese immigrant is swept up in an insane adventure, where she alone can save what's important to her by connecting with the lives she could have led in other universes.</t>
  </si>
  <si>
    <t>1022591.0</t>
  </si>
  <si>
    <t>3026289.0</t>
  </si>
  <si>
    <t>paramount, hbo</t>
  </si>
  <si>
    <t>https://www.rottentomatoes.com/m/everything_everywhere_all_at_once</t>
  </si>
  <si>
    <t>tt6710474</t>
  </si>
  <si>
    <t>Poor Things</t>
  </si>
  <si>
    <t>Science Fiction, Romance, Comedy</t>
  </si>
  <si>
    <t>Yorgos Lanthimos</t>
  </si>
  <si>
    <t>Emma Stone, Mark Ruffalo, Willem Dafoe, Ramy Youssef</t>
  </si>
  <si>
    <t>Brought back to life by an unorthodox scientist, a young woman runs off with a lawyer on a whirlwind adventure across the continents. Free from the prejudices of her times, she grows steadfast in her purpose to stand for equality and liberation.</t>
  </si>
  <si>
    <t>673949.0</t>
  </si>
  <si>
    <t>2009015.0</t>
  </si>
  <si>
    <t>https://www.rottentomatoes.com/m/poor_things</t>
  </si>
  <si>
    <t>tt14230458</t>
  </si>
  <si>
    <t>Cold War</t>
  </si>
  <si>
    <t>Romance, Music, Drama</t>
  </si>
  <si>
    <t>Pawe≈Ç Pawlikowski</t>
  </si>
  <si>
    <t>Joanna Kulig, Tomasz Kot, Borys Szyc, Agata Kulesza</t>
  </si>
  <si>
    <t>pl</t>
  </si>
  <si>
    <t>A man and a woman meet in the ruins of post-war Poland. With vastly different backgrounds and temperaments, they are fatally mismatched and yet drawn to each other.</t>
  </si>
  <si>
    <t>52289.0</t>
  </si>
  <si>
    <t>152837.0</t>
  </si>
  <si>
    <t>https://www.rottentomatoes.com/m/cold_war_2018</t>
  </si>
  <si>
    <t>tt6543652</t>
  </si>
  <si>
    <t>81.83</t>
  </si>
  <si>
    <t>Zero Dark Thirty</t>
  </si>
  <si>
    <t>Jessica Chastain, Jason Clarke, Kyle Chandler, Jennifer Ehle</t>
  </si>
  <si>
    <t>A chronicle of the decade-long hunt for al-Qaeda terrorist leader Osama bin Laden after the September 2001 attacks, and his death at the hands of the Navy S.E.A.L. Team 6 in May, 2011.</t>
  </si>
  <si>
    <t>Won 1 Oscar. Another 107 wins &amp; 128 nominations.</t>
  </si>
  <si>
    <t>205063.0</t>
  </si>
  <si>
    <t>219887.0</t>
  </si>
  <si>
    <t>https://www.rottentomatoes.com/m/zero_dark_thirty</t>
  </si>
  <si>
    <t>tt1790885</t>
  </si>
  <si>
    <t>Jurassic Park</t>
  </si>
  <si>
    <t>Adventure, Science Fiction</t>
  </si>
  <si>
    <t>Sam Neill, Laura Dern, Jeff Goldblum, Richard Attenborough</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</si>
  <si>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</si>
  <si>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Won 3 Oscars. Another 25 wins &amp; 16 nominations.</t>
  </si>
  <si>
    <t>Universal City Studios</t>
  </si>
  <si>
    <t>1217265.0</t>
  </si>
  <si>
    <t>1503381.0</t>
  </si>
  <si>
    <t>https://www.rottentomatoes.com/m/jurassic_park/</t>
  </si>
  <si>
    <t>tt0107290</t>
  </si>
  <si>
    <t>Mission: Impossible - Fallout</t>
  </si>
  <si>
    <t>Action, Adventure</t>
  </si>
  <si>
    <t>Christopher McQuarrie</t>
  </si>
  <si>
    <t>Tom Cruise, Henry Cavill, Ving Rhames, Simon Pegg</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</si>
  <si>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</si>
  <si>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192557.0</t>
  </si>
  <si>
    <t>542008.0</t>
  </si>
  <si>
    <t>https://www.rottentomatoes.com/m/mission_impossible_fallout</t>
  </si>
  <si>
    <t>tt4912910</t>
  </si>
  <si>
    <t>American Graffiti</t>
  </si>
  <si>
    <t>Richard Dreyfuss, Ron Howard, Paul Le Mat, Charles Martin Smith</t>
  </si>
  <si>
    <t>A couple of high school graduates spend one final night cruising the strip with their buddies before they go off to college.</t>
  </si>
  <si>
    <t>Nominated for 5 Oscars. Another 7 wins &amp; 8 nominations.</t>
  </si>
  <si>
    <t>81508.0</t>
  </si>
  <si>
    <t>114804.0</t>
  </si>
  <si>
    <t>https://www.rottentomatoes.com/m/american_graffiti</t>
  </si>
  <si>
    <t>tt0069704</t>
  </si>
  <si>
    <t>House of Flying Daggers</t>
  </si>
  <si>
    <t>Adventure, Drama, Action</t>
  </si>
  <si>
    <t>Takeshi Kaneshiro, Andy Lau Tak-Wah, Zhang Ziyi, Song Dandan</t>
  </si>
  <si>
    <t>In 9th century China, a corrupt government wages war against a rebel army called the Flying Daggers. A romantic warrior breaks a beautiful rebel out of prison to help her rejoin her fellows, but things are not what they seem.</t>
  </si>
  <si>
    <t>Nominated for 1 Oscar. Another 25 wins &amp; 46 nominations.</t>
  </si>
  <si>
    <t>161234.0</t>
  </si>
  <si>
    <t>47680.0</t>
  </si>
  <si>
    <t>https://www.rottentomatoes.com/m/house_of_flying_daggers</t>
  </si>
  <si>
    <t>tt0385004</t>
  </si>
  <si>
    <t>Volver</t>
  </si>
  <si>
    <t>Pen√©lope Cruz, Carmen Maura, Lola Due√±as, Blanca Portillo</t>
  </si>
  <si>
    <t>Three generations of women survive the east wind, fire, insanity, superstition and even death by means of goodness, lies and boundless vitality.</t>
  </si>
  <si>
    <t>Nominated for 1 Oscar. Another 66 wins &amp; 68 nominations.</t>
  </si>
  <si>
    <t>96864.0</t>
  </si>
  <si>
    <t>146336.0</t>
  </si>
  <si>
    <t>https://www.rottentomatoes.com/m/volver</t>
  </si>
  <si>
    <t>tt0441909</t>
  </si>
  <si>
    <t>Inside Llewyn Davis</t>
  </si>
  <si>
    <t>Oscar Isaac, Carey Mulligan, Justin Timberlake, Ethan Phillips</t>
  </si>
  <si>
    <t>In Greenwich Village in the early 1960s, gifted but volatile folk musician Llewyn Davis struggles with money, relationships, and his uncertain future.</t>
  </si>
  <si>
    <t>Nominated for 2 Oscars. Another 61 wins &amp; 123 nominations.</t>
  </si>
  <si>
    <t>CBS Films</t>
  </si>
  <si>
    <t>137057.0</t>
  </si>
  <si>
    <t>320530.0</t>
  </si>
  <si>
    <t>https://www.rottentomatoes.com/m/inside_llewyn_davis_2013</t>
  </si>
  <si>
    <t>tt2042568</t>
  </si>
  <si>
    <t>Sound of Metal</t>
  </si>
  <si>
    <t>Darius Marder</t>
  </si>
  <si>
    <t>Riz Ahmed, Olivia Cooke, Paul Raci, Lauren Ridloff</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</si>
  <si>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</si>
  <si>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222621.0</t>
  </si>
  <si>
    <t>662768.0</t>
  </si>
  <si>
    <t>tt5363618</t>
  </si>
  <si>
    <t>Dallas Buyers Club</t>
  </si>
  <si>
    <t>Jean-Marc Vall√©e</t>
  </si>
  <si>
    <t>Matthew McConaughey, Jennifer Garner, Jared Leto, Denis O'Hare</t>
  </si>
  <si>
    <t>Loosely based on the true-life tale of Ron Woodroof, a drug-taking, women-loving, homophobic man who in 1986 was diagnosed with HIV/AIDS and given thirty days to live.</t>
  </si>
  <si>
    <t>Won 3 Oscars. Another 77 wins &amp; 71 nominations.</t>
  </si>
  <si>
    <t>229781.0</t>
  </si>
  <si>
    <t>502641.0</t>
  </si>
  <si>
    <t>https://www.rottentomatoes.com/m/dallas_buyers_club_2013</t>
  </si>
  <si>
    <t>tt0790636</t>
  </si>
  <si>
    <t>The Martian</t>
  </si>
  <si>
    <t>Drama, Adventure, Science Fiction</t>
  </si>
  <si>
    <t>Matt Damon, Jessica Chastain, Kristen Wiig, Jeff Daniels</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</si>
  <si>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</si>
  <si>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508376.0</t>
  </si>
  <si>
    <t>1260464.0</t>
  </si>
  <si>
    <t>tt3659388</t>
  </si>
  <si>
    <t>Casino</t>
  </si>
  <si>
    <t>Robert De Niro, Sharon Stone, Joe Pesci, James Woods</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</si>
  <si>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</si>
  <si>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Nominated for 1 Oscar. Another 4 wins &amp; 8 nominations.</t>
  </si>
  <si>
    <t>358364.0</t>
  </si>
  <si>
    <t>503194.0</t>
  </si>
  <si>
    <t>https://www.rottentomatoes.com/m/1067987_casino</t>
  </si>
  <si>
    <t>tt0112641</t>
  </si>
  <si>
    <t>Peeping Tom</t>
  </si>
  <si>
    <t>Thriller, Horror, Drama</t>
  </si>
  <si>
    <t>Michael Powell</t>
  </si>
  <si>
    <t>Karlheinz B√∂hm, Anna Massey, Moira Shearer, Maxine Audley</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</si>
  <si>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</si>
  <si>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Astor Pictures Corporation</t>
  </si>
  <si>
    <t>36186.0</t>
  </si>
  <si>
    <t>80602.0</t>
  </si>
  <si>
    <t>https://www.rottentomatoes.com/m/peeping_tom_1960</t>
  </si>
  <si>
    <t>tt0054167</t>
  </si>
  <si>
    <t>81.8</t>
  </si>
  <si>
    <t>Black Swan</t>
  </si>
  <si>
    <t>Natalie Portman, Mila Kunis, Vincent Cassel, Barbara Hershey</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</si>
  <si>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</si>
  <si>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Won 1 Oscar. Another 104 wins &amp; 211 nominations.</t>
  </si>
  <si>
    <t>812102.0</t>
  </si>
  <si>
    <t>2078477.0</t>
  </si>
  <si>
    <t>https://www.rottentomatoes.com/m/black_swan_2010</t>
  </si>
  <si>
    <t>tt0947798</t>
  </si>
  <si>
    <t>81.67</t>
  </si>
  <si>
    <t>Mean Streets</t>
  </si>
  <si>
    <t>Harvey Keitel, Robert De Niro, David Proval, Richard Romanus</t>
  </si>
  <si>
    <t>A small-time hood must choose from among love, friendship and the chance to rise within the mob.</t>
  </si>
  <si>
    <t>6 wins &amp; 5 nominations.</t>
  </si>
  <si>
    <t>95545.0</t>
  </si>
  <si>
    <t>176591.0</t>
  </si>
  <si>
    <t>https://www.rottentomatoes.com/m/mean_streets/</t>
  </si>
  <si>
    <t>tt0070379</t>
  </si>
  <si>
    <t>Isle of Dogs</t>
  </si>
  <si>
    <t>Adventure, Comedy, Animation</t>
  </si>
  <si>
    <t>Bryan Cranston, Koyu Rankin, Bob Balaban, Edward Norton</t>
  </si>
  <si>
    <t>In the future, an outbreak of canine flu leads the mayor of a Japanese city to banish all dogs to an island used as a garbage dump. The outcasts must soon embark on an epic journey when a 12-year-old boy arrives on the island to find his beloved pet.</t>
  </si>
  <si>
    <t>275699.0</t>
  </si>
  <si>
    <t>807747.0</t>
  </si>
  <si>
    <t>https://www.rottentomatoes.com/m/isle_of_dogs_2018</t>
  </si>
  <si>
    <t>tt5104604</t>
  </si>
  <si>
    <t>Pinocchio</t>
  </si>
  <si>
    <t>Hamilton Luske, Ben Sharpsteen, Jack Kinney, Bill Roberts, T. Hee, Norman Ferguson, Wilfred Jackson</t>
  </si>
  <si>
    <t>Dickie Jones, Cliff Edwards, Christian Rub, Evelyn Venable</t>
  </si>
  <si>
    <t>A little wooden puppet yearns to become a real boy.</t>
  </si>
  <si>
    <t>Won 2 Oscars. Another 2 wins.</t>
  </si>
  <si>
    <t>RKO</t>
  </si>
  <si>
    <t>285349.0</t>
  </si>
  <si>
    <t>296159.0</t>
  </si>
  <si>
    <t>https://www.rottentomatoes.com/m/pinocchio_1940</t>
  </si>
  <si>
    <t>tt0032910</t>
  </si>
  <si>
    <t>E.T. the Extra-Terrestrial</t>
  </si>
  <si>
    <t>Science Fiction, Adventure, Family, Fantasy</t>
  </si>
  <si>
    <t>Henry Thomas, Drew Barrymore, Robert MacNaughton, Peter Coyote</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</si>
  <si>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</si>
  <si>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Won 4 Oscars. Another 46 wins &amp; 32 nominations.</t>
  </si>
  <si>
    <t>21844819.0</t>
  </si>
  <si>
    <t>905759.0</t>
  </si>
  <si>
    <t>https://www.rottentomatoes.com/m/et_the_extraterrestrial</t>
  </si>
  <si>
    <t>tt0083866</t>
  </si>
  <si>
    <t>How to Train Your Dragon</t>
  </si>
  <si>
    <t>Fantasy, Adventure, Animation, Family</t>
  </si>
  <si>
    <t>Chris Sanders, Dean DeBlois</t>
  </si>
  <si>
    <t>Jay Baruchel, Gerard Butler, Craig Ferguson, America Ferrera</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</si>
  <si>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</si>
  <si>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Nominated for 2 Oscars. Another 30 wins &amp; 51 nominations.</t>
  </si>
  <si>
    <t>Paramount/DWA</t>
  </si>
  <si>
    <t>582145.0</t>
  </si>
  <si>
    <t>1118520.0</t>
  </si>
  <si>
    <t>https://www.rottentomatoes.com/m/how_to_train_your_dragon</t>
  </si>
  <si>
    <t>tt0892769</t>
  </si>
  <si>
    <t>Inglourious Basterds</t>
  </si>
  <si>
    <t>Brad Pitt, M√©lanie Laurent, Christoph Waltz, Eli Roth</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</si>
  <si>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</si>
  <si>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Won 1 Oscar. Another 115 wins &amp; 136 nominations.</t>
  </si>
  <si>
    <t>69.0</t>
  </si>
  <si>
    <t>1301365.0</t>
  </si>
  <si>
    <t>2348648.0</t>
  </si>
  <si>
    <t>https://www.rottentomatoes.com/m/inglourious_basterds</t>
  </si>
  <si>
    <t>tt0361748</t>
  </si>
  <si>
    <t>Godzilla</t>
  </si>
  <si>
    <t>Thriller, Horror, Science Fiction</t>
  </si>
  <si>
    <t>Ishir≈ç Honda</t>
  </si>
  <si>
    <t>Akira Takarada, Momoko K√¥chi, Akihiko Hirata, Takashi Shimura</t>
  </si>
  <si>
    <t>Japan is thrown into a panic after several ships are sunk near Odo Island. An expedition to the island led by Dr. Kyohei Yamane soon discover something far more devastating than imagined in the form of a 50 meter tall monster whom the natives call Gojira. Now the monster begins a rampage that threatens to destroy not only Japan, but the rest of the world as well.</t>
  </si>
  <si>
    <t>48898.0</t>
  </si>
  <si>
    <t>126402.0</t>
  </si>
  <si>
    <t>https://www.rottentomatoes.com/m/gojira</t>
  </si>
  <si>
    <t>tt0047034</t>
  </si>
  <si>
    <t>Hot Fuzz</t>
  </si>
  <si>
    <t>Crime, Action, Comedy</t>
  </si>
  <si>
    <t>Simon Pegg, Nick Frost, Jim Broadbent, Paddy Considine</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</si>
  <si>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</si>
  <si>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3 wins &amp; 7 nominations.</t>
  </si>
  <si>
    <t>Rogue Pictures/Focus Features</t>
  </si>
  <si>
    <t>623784.0</t>
  </si>
  <si>
    <t>738270.0</t>
  </si>
  <si>
    <t>https://www.rottentomatoes.com/m/hot_fuzz</t>
  </si>
  <si>
    <t>tt0425112</t>
  </si>
  <si>
    <t>The Texas Chain Saw Massacre</t>
  </si>
  <si>
    <t>Tobe Hooper</t>
  </si>
  <si>
    <t>Marilyn Burns, Allen Danziger, Paul A. Partain, William Vail</t>
  </si>
  <si>
    <t>Five friends head out to rural Texas to visit the grave of a grandfather. On the way they stumble across what appears to be a deserted house, only to discover something sinister within. Something armed with a chainsaw.</t>
  </si>
  <si>
    <t>Bryanston Pictures</t>
  </si>
  <si>
    <t>349352.0</t>
  </si>
  <si>
    <t>641273.0</t>
  </si>
  <si>
    <t>peacock, prime, amzvid, itunes</t>
  </si>
  <si>
    <t>https://www.rottentomatoes.com/m/1021112_texas_chainsaw_massacre</t>
  </si>
  <si>
    <t>tt0072271</t>
  </si>
  <si>
    <t>Dawn of the Dead</t>
  </si>
  <si>
    <t>David Emge, Ken Foree, Scott H. Reiniger, Gaylen Ross</t>
  </si>
  <si>
    <t>During an ever-growing epidemic of zombies that have risen from the dead, two Philadelphia SWAT team members, a traffic reporter, and his television-executive girlfriend seek refuge in a secluded shopping mall.</t>
  </si>
  <si>
    <t>2 wins &amp; 2 nominations.</t>
  </si>
  <si>
    <t>United Film Distribution Compa</t>
  </si>
  <si>
    <t>188411.0</t>
  </si>
  <si>
    <t>155030.0</t>
  </si>
  <si>
    <t>https://www.rottentomatoes.com/m/1005339-dawn_of_the_dead</t>
  </si>
  <si>
    <t>tt0077402</t>
  </si>
  <si>
    <t>Guillermo del Toro's Pinocchio</t>
  </si>
  <si>
    <t>Animation, Fantasy, Drama, Adventure, Family, Music</t>
  </si>
  <si>
    <t>Mark Gustafson, Guillermo del Toro</t>
  </si>
  <si>
    <t>Ewan McGregor, David Bradley, Gregory Mann, Burn Gorman</t>
  </si>
  <si>
    <t>During the rise of fascism in Mussolini's Italy, a wooden boy brought magically to life struggles to live up to his father's expectations.</t>
  </si>
  <si>
    <t>192647.0</t>
  </si>
  <si>
    <t>570228.0</t>
  </si>
  <si>
    <t>https://www.rottentomatoes.com/m/guillermo_del_toros_pinocchio</t>
  </si>
  <si>
    <t>tt1488589</t>
  </si>
  <si>
    <t>81.6</t>
  </si>
  <si>
    <t>Breathless</t>
  </si>
  <si>
    <t>Jean-Luc Godard</t>
  </si>
  <si>
    <t>Jean-Paul Belmondo, Jean Seberg, Daniel Boulanger, Henri-Jacques Huet</t>
  </si>
  <si>
    <t>A small-time thief steals a car and impulsively murders a motorcycle policeman. Wanted by the authorities, he attempts to persuade a girl to run away to Italy with him.</t>
  </si>
  <si>
    <t>98209.0</t>
  </si>
  <si>
    <t>216481.0</t>
  </si>
  <si>
    <t>https://www.rottentomatoes.com/m/breathless</t>
  </si>
  <si>
    <t>tt0053472</t>
  </si>
  <si>
    <t>Hundreds of Beavers</t>
  </si>
  <si>
    <t>Comedy, Adventure, Action</t>
  </si>
  <si>
    <t>Mike Cheslik</t>
  </si>
  <si>
    <t>Ryland Brickson Cole Tews, Olivia Graves, Doug Mancheski, Wes Tank</t>
  </si>
  <si>
    <t>In the 19th century, a drunken applejack salesman must go from zero to hero and become North America's greatest fur trapper by defeating hundreds of beavers.</t>
  </si>
  <si>
    <t>38829.0</t>
  </si>
  <si>
    <t>116366.0</t>
  </si>
  <si>
    <t>prime, mubi</t>
  </si>
  <si>
    <t>https://www.rottentomatoes.com/m/hundreds_of_beavers</t>
  </si>
  <si>
    <t>tt12818328</t>
  </si>
  <si>
    <t>Ordinary People</t>
  </si>
  <si>
    <t>Donald Sutherland, Mary Tyler Moore, Judd Hirsch, Timothy Hutton</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</si>
  <si>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</si>
  <si>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Won 4 Oscars. Another 20 wins &amp; 9 nominations.</t>
  </si>
  <si>
    <t>31908.0</t>
  </si>
  <si>
    <t>49068.0</t>
  </si>
  <si>
    <t>https://www.rottentomatoes.com/m/ordinary_people</t>
  </si>
  <si>
    <t>tt0081283</t>
  </si>
  <si>
    <t>81.5</t>
  </si>
  <si>
    <t>Oslo, August 31st</t>
  </si>
  <si>
    <t>Anders Danielsen Lie, Malin Cr√©pin, Hans Olav Brenner, Ingrid Olava</t>
  </si>
  <si>
    <t>One day in the life of Anders, a young recovering drug addict, who takes a brief leave from his treatment center to interview for a job and catch up with old friends in Oslo.</t>
  </si>
  <si>
    <t>Strand Releasing</t>
  </si>
  <si>
    <t>31339.0</t>
  </si>
  <si>
    <t>83204.0</t>
  </si>
  <si>
    <t>https://www.rottentomatoes.com/m/oslo_august_31st</t>
  </si>
  <si>
    <t>tt1736633</t>
  </si>
  <si>
    <t>Pride</t>
  </si>
  <si>
    <t>Matthew Warchus</t>
  </si>
  <si>
    <t>George MacKay, Ben Schnetzer, Freddie Fox, Bill Nighy</t>
  </si>
  <si>
    <t>In 1984, a group of LGBT activists decide to raise money to support the National Union of Mineworkers during their lengthy strike. There is only one problem: the Union seems embarrassed to receive their support.</t>
  </si>
  <si>
    <t>Nominated for 1 Golden Globe. Another 8 wins &amp; 15 nominations.</t>
  </si>
  <si>
    <t>49080.0</t>
  </si>
  <si>
    <t>114521.0</t>
  </si>
  <si>
    <t>https://www.rottentomatoes.com/m/pride_2014</t>
  </si>
  <si>
    <t>tt3169706</t>
  </si>
  <si>
    <t>Kramer vs. Kramer</t>
  </si>
  <si>
    <t>Robert Benton</t>
  </si>
  <si>
    <t>Dustin Hoffman, Meryl Streep, Jane Alexander, Justin Henry</t>
  </si>
  <si>
    <t>Ted Kramer is a career man for whom his work comes before his family. His wife Joanna cannot take this anymore, so she decides to leave him. Ted is now faced with the tasks of housekeeping and taking care of himself and their young son Billy.</t>
  </si>
  <si>
    <t>Won 5 Oscars. Another 38 wins &amp; 17 nominations.</t>
  </si>
  <si>
    <t>76383.0</t>
  </si>
  <si>
    <t>141869.0</t>
  </si>
  <si>
    <t>https://www.rottentomatoes.com/m/kramer_vs_kramer</t>
  </si>
  <si>
    <t>tt0079417</t>
  </si>
  <si>
    <t>Arrival</t>
  </si>
  <si>
    <t>Amy Adams, Jeremy Renner, Forest Whitaker, Michael Stuhlbarg</t>
  </si>
  <si>
    <t>Taking place after alien crafts land around the world, an expert linguist is recruited by the military to determine whether they come in peace or are a threat.</t>
  </si>
  <si>
    <t>659702.0</t>
  </si>
  <si>
    <t>1808063.0</t>
  </si>
  <si>
    <t>netflix, paramount, itunes, amzvid</t>
  </si>
  <si>
    <t>https://www.rottentomatoes.com/m/arrival_2016/</t>
  </si>
  <si>
    <t>tt2543164</t>
  </si>
  <si>
    <t>Blackfish</t>
  </si>
  <si>
    <t>Gabriela Cowperthwaite</t>
  </si>
  <si>
    <t>Dean Gomersall, Samantha Berg, John Jett, John Hargrove</t>
  </si>
  <si>
    <t>Notorious killer whale Tilikum is responsible for the deaths of three individuals, including a top killer whale trainer. Blackfish shows the sometimes devastating consequences of keeping such intelligent and sentient creatures in captivity.</t>
  </si>
  <si>
    <t>Nominated for 1 BAFTA Film Award. Another 12 wins &amp; 29 nominations.</t>
  </si>
  <si>
    <t>49227.0</t>
  </si>
  <si>
    <t>90036.0</t>
  </si>
  <si>
    <t>https://www.rottentomatoes.com/m/blackfish_2013</t>
  </si>
  <si>
    <t>tt2545118</t>
  </si>
  <si>
    <t>Amy</t>
  </si>
  <si>
    <t>Documentary, Music</t>
  </si>
  <si>
    <t>Asif Kapadia</t>
  </si>
  <si>
    <t>Amy Winehouse, Mark Ronson, Tony Bennett, Pete Doherty</t>
  </si>
  <si>
    <t>A documentary on the life of Amy Winehouse, the immensely talented yet doomed songstress. We see her from her teen years, where she already showed her singing abilities, to her finding success and then her downward spiral into alcoholism and drugs.</t>
  </si>
  <si>
    <t>5 nominations.</t>
  </si>
  <si>
    <t>A24 Films</t>
  </si>
  <si>
    <t>51318.0</t>
  </si>
  <si>
    <t>109242.0</t>
  </si>
  <si>
    <t>netflix, prime, itunes, amzvid, hbm</t>
  </si>
  <si>
    <t>https://www.rottentomatoes.com/m/amy_2015</t>
  </si>
  <si>
    <t>tt2870648</t>
  </si>
  <si>
    <t>Belle de Jour</t>
  </si>
  <si>
    <t>Luis Bu√±uel</t>
  </si>
  <si>
    <t>Catherine Deneuve, Jean Sorel, Michel Piccoli, Genevi√®ve Page</t>
  </si>
  <si>
    <t>Beautiful young housewife S√©verine Serizy cannot reconcile her masochistic fantasies with her everyday life alongside dutiful husband Pierre. When her lovestruck friend Henri mentions a secretive high-class brothel run by Madame Anais, S√©verine begins to work there during the day under the name Belle de Jour. But when one of her clients grows possessive, she must try to go back to her normal life.</t>
  </si>
  <si>
    <t>Nominated for 1 BAFTA Film Award. Another 7 wins.</t>
  </si>
  <si>
    <t>Miramax Zoe</t>
  </si>
  <si>
    <t>37251.0</t>
  </si>
  <si>
    <t>103314.0</t>
  </si>
  <si>
    <t>https://www.rottentomatoes.com/m/belle_de_jour</t>
  </si>
  <si>
    <t>tt0061395</t>
  </si>
  <si>
    <t>War, History, Drama</t>
  </si>
  <si>
    <t>Edward Berger</t>
  </si>
  <si>
    <t>Felix Kammerer, Albrecht Schuch, Aaron Hilmer, Moritz Klaus</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</si>
  <si>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</si>
  <si>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266337.0</t>
  </si>
  <si>
    <t>791518.0</t>
  </si>
  <si>
    <t>https://www.rottentomatoes.com/m/all_quiet_on_the_western_front_2022</t>
  </si>
  <si>
    <t>tt1016150</t>
  </si>
  <si>
    <t>81.4</t>
  </si>
  <si>
    <t>The Birds</t>
  </si>
  <si>
    <t>Tippi Hedren, Rod Taylor, Jessica Tandy, Suzanne Pleshette</t>
  </si>
  <si>
    <t>Thousands of birds flock into a seaside town and terrorize the residents in a series of deadly attacks.</t>
  </si>
  <si>
    <t>Nominated for 1 Oscar. Another 2 wins &amp; 5 nominations.</t>
  </si>
  <si>
    <t>226724.0</t>
  </si>
  <si>
    <t>326153.0</t>
  </si>
  <si>
    <t>https://www.rottentomatoes.com/m/1002448_birds</t>
  </si>
  <si>
    <t>tt0056869</t>
  </si>
  <si>
    <t>81.33</t>
  </si>
  <si>
    <t>The Lunchbox</t>
  </si>
  <si>
    <t>Ritesh Batra</t>
  </si>
  <si>
    <t>Irrfan Khan, Nimrat Kaur, Nawazuddin Siddiqui, Lillete Dubey</t>
  </si>
  <si>
    <t>hi</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</si>
  <si>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</si>
  <si>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Nominated for 1 BAFTA Film Award. Another 27 wins &amp; 35 nominations.</t>
  </si>
  <si>
    <t>25991.0</t>
  </si>
  <si>
    <t>46783.0</t>
  </si>
  <si>
    <t>https://www.rottentomatoes.com/m/the_lunchbox</t>
  </si>
  <si>
    <t>tt2350496</t>
  </si>
  <si>
    <t>Meet Me in St. Louis</t>
  </si>
  <si>
    <t>Comedy, Drama, Romance, Family</t>
  </si>
  <si>
    <t>Vincente Minnelli</t>
  </si>
  <si>
    <t>Judy Garland, Margaret O'Brien, Mary Astor, Lucille Bremer</t>
  </si>
  <si>
    <t>Young love and childish fears highlight a year in the life of a turn-of-the-century family up to the 1904 St. Louis World's Fair.</t>
  </si>
  <si>
    <t>Nominated for 4 Oscars. Another 5 wins &amp; 1 nomination.</t>
  </si>
  <si>
    <t>44260.0</t>
  </si>
  <si>
    <t>58472.0</t>
  </si>
  <si>
    <t>https://www.rottentomatoes.com/m/meet_me_in_st_louis</t>
  </si>
  <si>
    <t>tt0037059</t>
  </si>
  <si>
    <t>Malcolm X</t>
  </si>
  <si>
    <t>Denzel Washington, Angela Bassett, Albert Hall, Al Freeman Jr.</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</si>
  <si>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</si>
  <si>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Nominated for 2 Oscars. Another 17 wins &amp; 13 nominations.</t>
  </si>
  <si>
    <t>82751.0</t>
  </si>
  <si>
    <t>133925.0</t>
  </si>
  <si>
    <t>https://www.rottentomatoes.com/m/1042135-malcolm_x/</t>
  </si>
  <si>
    <t>tt0104797</t>
  </si>
  <si>
    <t>Laura</t>
  </si>
  <si>
    <t>Drama, Mystery</t>
  </si>
  <si>
    <t>Otto Preminger</t>
  </si>
  <si>
    <t>Dana Andrews, Gene Tierney, Clifton Webb, Vincent Price</t>
  </si>
  <si>
    <t>A police detective falls in love with the woman whose murder he's investigating.</t>
  </si>
  <si>
    <t>Won 1 Oscar. Another 1 win &amp; 4 nominations.</t>
  </si>
  <si>
    <t>28730.0</t>
  </si>
  <si>
    <t>64424.0</t>
  </si>
  <si>
    <t>https://www.rottentomatoes.com/m/1012007_laura?</t>
  </si>
  <si>
    <t>tt0037008</t>
  </si>
  <si>
    <t>81.2</t>
  </si>
  <si>
    <t>The Wonderful Story of Henry Sugar</t>
  </si>
  <si>
    <t>Comedy, Fantasy, Adventure</t>
  </si>
  <si>
    <t>Ralph Fiennes, Benedict Cumberbatch, Dev Patel, Ben Kingsley</t>
  </si>
  <si>
    <t>A rich man learns about a guru who can see without using his eyes. He sets out to master the skill in order to cheat at gambling.</t>
  </si>
  <si>
    <t>143750.0</t>
  </si>
  <si>
    <t>429286.0</t>
  </si>
  <si>
    <t>https://www.rottentomatoes.com/m/the_wonderful_story_of_henry_sugar</t>
  </si>
  <si>
    <t>tt16968450</t>
  </si>
  <si>
    <t>Moneyball</t>
  </si>
  <si>
    <t>Bennett Miller</t>
  </si>
  <si>
    <t>Brad Pitt, Jonah Hill, Philip Seymour Hoffman, Robin Wright</t>
  </si>
  <si>
    <t>The story of Oakland Athletics general manager Billy Beane's successful attempt to put together a baseball team on a budget, by employing computer-generated analysis to draft his players.</t>
  </si>
  <si>
    <t>Nominated for 6 Oscars. Another 33 wins &amp; 64 nominations.</t>
  </si>
  <si>
    <t>248313.0</t>
  </si>
  <si>
    <t>559774.0</t>
  </si>
  <si>
    <t>https://www.rottentomatoes.com/m/moneyball</t>
  </si>
  <si>
    <t>tt1210166</t>
  </si>
  <si>
    <t>81.17</t>
  </si>
  <si>
    <t>Midnight Cowboy</t>
  </si>
  <si>
    <t>John Schlesinger</t>
  </si>
  <si>
    <t>Jon Voight, Dustin Hoffman, Sylvia Miles, John McGiver</t>
  </si>
  <si>
    <t>Joe Buck is a wide-eyed hustler from Texas hoping to score big with wealthy New York City women; he finds a companion in Enrico "Ratso" Rizzo, an ailing swindler with a bum leg and a quixotic fantasy of escaping to Florida.</t>
  </si>
  <si>
    <t>Won 3 Oscars. Another 27 wins &amp; 12 nominations.</t>
  </si>
  <si>
    <t>76945.0</t>
  </si>
  <si>
    <t>150475.0</t>
  </si>
  <si>
    <t>https://www.rottentomatoes.com/m/midnight_cowboy/</t>
  </si>
  <si>
    <t>tt0064665</t>
  </si>
  <si>
    <t>Gone Girl</t>
  </si>
  <si>
    <t>Ben Affleck, Rosamund Pike, Neil Patrick Harris, Tyler Perry</t>
  </si>
  <si>
    <t>With his wife's disappearance having become the focus of an intense media circus, a man sees the spotlight turned on him when it's suspected that he may not be innocent.</t>
  </si>
  <si>
    <t>Nominated for 1 Oscar. Another 69 wins &amp; 136 nominations.</t>
  </si>
  <si>
    <t>847569.0</t>
  </si>
  <si>
    <t>2283255.0</t>
  </si>
  <si>
    <t>https://www.rottentomatoes.com/m/gone_girl</t>
  </si>
  <si>
    <t>tt2267998</t>
  </si>
  <si>
    <t>Captain Phillips</t>
  </si>
  <si>
    <t>Action, Drama, Thriller</t>
  </si>
  <si>
    <t>Tom Hanks, Barkhad Abdi, Barkhad Abdirahman, Faysal  Ahmed</t>
  </si>
  <si>
    <t>The true story of Captain Richard Phillips and the 2009 hijacking by Somali pirates of the US-flagged MV Maersk Alabama, the first American cargo ship to be hijacked in two hundred years.</t>
  </si>
  <si>
    <t>Nominated for 6 Oscars. Another 21 wins &amp; 125 nominations.</t>
  </si>
  <si>
    <t>205779.0</t>
  </si>
  <si>
    <t>311200.0</t>
  </si>
  <si>
    <t>https://www.rottentomatoes.com/m/captain_phillips%2F</t>
  </si>
  <si>
    <t>tt1535109</t>
  </si>
  <si>
    <t>Sicario</t>
  </si>
  <si>
    <t>Emily Blunt, Benicio del Toro, Josh Brolin, Victor Garber</t>
  </si>
  <si>
    <t>An idealistic FBI agent is enlisted by a government task force to aid in the escalating war against drugs at the border area between the U.S. and Mexico.</t>
  </si>
  <si>
    <t>Lionsgate</t>
  </si>
  <si>
    <t>274632.0</t>
  </si>
  <si>
    <t>686077.0</t>
  </si>
  <si>
    <t>https://www.rottentomatoes.com/m/sicario_2015</t>
  </si>
  <si>
    <t>tt3397884</t>
  </si>
  <si>
    <t>The Little Mermaid</t>
  </si>
  <si>
    <t>Jodi Benson, Samuel E. Wright, Pat Carroll, Christopher Daniel Barnes</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</si>
  <si>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</si>
  <si>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Won 2 Oscars. Another 10 wins &amp; 7 nominations.</t>
  </si>
  <si>
    <t>786845.0</t>
  </si>
  <si>
    <t>558144.0</t>
  </si>
  <si>
    <t>https://www.rottentomatoes.com/m/the_little_mermaid_1989/</t>
  </si>
  <si>
    <t>tt0097757</t>
  </si>
  <si>
    <t>Skyfall</t>
  </si>
  <si>
    <t>Action, Adventure, Thriller</t>
  </si>
  <si>
    <t>Daniel Craig, Judi Dench, Javier Bardem, Ralph Fiennes</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</si>
  <si>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</si>
  <si>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Won 2 Oscars. Another 69 wins &amp; 98 nominations.</t>
  </si>
  <si>
    <t>492679.0</t>
  </si>
  <si>
    <t>726952.0</t>
  </si>
  <si>
    <t>https://www.rottentomatoes.com/m/skyfall</t>
  </si>
  <si>
    <t>tt1074638</t>
  </si>
  <si>
    <t>Coraline</t>
  </si>
  <si>
    <t>Dakota Fanning, Teri Hatcher, Jennifer Saunders, Dawn French</t>
  </si>
  <si>
    <t>Wandering her rambling old house in her boring new town, 11-year-old Coraline discovers a hidden door to a strangely idealized version of her life. In order to stay in the fantasy, she must make a frighteningly real sacrifice.</t>
  </si>
  <si>
    <t>Nominated for 1 Oscar. Another 7 wins &amp; 39 nominations.</t>
  </si>
  <si>
    <t>850948.0</t>
  </si>
  <si>
    <t>1781182.0</t>
  </si>
  <si>
    <t>https://www.rottentomatoes.com/m/coraline</t>
  </si>
  <si>
    <t>tt0327597</t>
  </si>
  <si>
    <t>Lady Bird</t>
  </si>
  <si>
    <t>Saoirse Ronan, Laurie Metcalf, Tracy Letts, Lucas Hedges</t>
  </si>
  <si>
    <t>A coming-of-age comedy/ drama set in Sacramento, following Christine ‚ÄòLady Bird‚Äô McPherson, a head-strong and artistic 17-year-old currently in her senior year at high school. Lady Bird, like her mother, a hardworking nurse, suffer challenges in her relationships before she advances to college.</t>
  </si>
  <si>
    <t>802603.0</t>
  </si>
  <si>
    <t>2359917.0</t>
  </si>
  <si>
    <t>https://www.rottentomatoes.com/m/lady_bird</t>
  </si>
  <si>
    <t>tt4925292</t>
  </si>
  <si>
    <t>The Wicker Man</t>
  </si>
  <si>
    <t>Robin Hardy</t>
  </si>
  <si>
    <t>Edward Woodward, Christopher Lee, Britt Ekland, Diane Cilento</t>
  </si>
  <si>
    <t>Police sergeant Neil Howie is called to an island village in search of a missing girl whom the locals claim never existed. Stranger still, however, are the rituals that take place there.</t>
  </si>
  <si>
    <t>1 win &amp; 6 nominations.</t>
  </si>
  <si>
    <t>LionsGate Entertainment</t>
  </si>
  <si>
    <t>104949.0</t>
  </si>
  <si>
    <t>227819.0</t>
  </si>
  <si>
    <t>https://www.rottentomatoes.com/m/the_wicker_man_1973</t>
  </si>
  <si>
    <t>tt0070917</t>
  </si>
  <si>
    <t>What We Do in the Shadows</t>
  </si>
  <si>
    <t>Comedy, Horror</t>
  </si>
  <si>
    <t>Taika Waititi, Jemaine Clement</t>
  </si>
  <si>
    <t>Jemaine Clement, Taika Waititi, Jonny Brugh, Cori Gonzalez-Macuer</t>
  </si>
  <si>
    <t>Vampire housemates try to cope with the complexities of modern life and show a newly turned hipster some of the perks of being undead.</t>
  </si>
  <si>
    <t>Paladin Pictures</t>
  </si>
  <si>
    <t>191766.0</t>
  </si>
  <si>
    <t>519424.0</t>
  </si>
  <si>
    <t>https://www.rottentomatoes.com/m/what_we_do_in_the_shadows</t>
  </si>
  <si>
    <t>tt3416742</t>
  </si>
  <si>
    <t>Burning</t>
  </si>
  <si>
    <t>Mystery, Drama, Thriller</t>
  </si>
  <si>
    <t>Lee Chang-dong</t>
  </si>
  <si>
    <t>Yoo Ah-in, Steven Yeun, Jun Jong-seo, Kim Soo-kyung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</si>
  <si>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</si>
  <si>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90786.0</t>
  </si>
  <si>
    <t>268302.0</t>
  </si>
  <si>
    <t>netflix, mubi, amzvid, itunes</t>
  </si>
  <si>
    <t>https://www.rottentomatoes.com/m/burning_2018</t>
  </si>
  <si>
    <t>tt7282468</t>
  </si>
  <si>
    <t>Adaptation.</t>
  </si>
  <si>
    <t>Nicolas Cage, Meryl Streep, Chris Cooper, Tilda Swinton</t>
  </si>
  <si>
    <t>Charlie Kaufman is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</si>
  <si>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Won 1 Oscar. Another 62 wins &amp; 71 nominations.</t>
  </si>
  <si>
    <t>209812.0</t>
  </si>
  <si>
    <t>251436.0</t>
  </si>
  <si>
    <t>https://www.rottentomatoes.com/m/1118700_adaptation</t>
  </si>
  <si>
    <t>tt0268126</t>
  </si>
  <si>
    <t>The Wolf of Wall Street</t>
  </si>
  <si>
    <t>Crime, Drama, Comedy</t>
  </si>
  <si>
    <t>Leonardo DiCaprio, Jonah Hill, Margot Robbie, Matthew McConaughey</t>
  </si>
  <si>
    <t>A New York stockbroker refuses to cooperate in a large securities fraud case involving corruption on Wall Street, corporate banking world and mob infiltration. Based on Jordan Belfort's autobiography.</t>
  </si>
  <si>
    <t>Nominated for 5 Oscars. Another 47 wins &amp; 129 nominations.</t>
  </si>
  <si>
    <t>Paramount Studios</t>
  </si>
  <si>
    <t>1020621.0</t>
  </si>
  <si>
    <t>2696608.0</t>
  </si>
  <si>
    <t>paramount, starz, itunes, amzvid</t>
  </si>
  <si>
    <t>https://www.rottentomatoes.com/m/the_wolf_of_wall_street_2013</t>
  </si>
  <si>
    <t>tt0993846</t>
  </si>
  <si>
    <t>The Great Beauty</t>
  </si>
  <si>
    <t>Paolo Sorrentino</t>
  </si>
  <si>
    <t>Toni Servillo, Carlo Verdone, Sabrina Ferilli, Carlo Buccirosso</t>
  </si>
  <si>
    <t>Jep Gambardella has seduced his way through the lavish nightlife of Rome for decades, but after his 65th birthday and a shock from the past, Jep looks past the nightclubs and parties to find a timeless landscape of absurd, exquisite beauty.</t>
  </si>
  <si>
    <t>Won 1 Oscar. Another 61 wins &amp; 60 nominations.</t>
  </si>
  <si>
    <t>50986.0</t>
  </si>
  <si>
    <t>121640.0</t>
  </si>
  <si>
    <t>https://www.rottentomatoes.com/m/the_great_beauty</t>
  </si>
  <si>
    <t>tt2358891</t>
  </si>
  <si>
    <t>American Splendor</t>
  </si>
  <si>
    <t>Shari Springer Berman, Robert Pulcini</t>
  </si>
  <si>
    <t>Paul Giamatti, Hope Davis, Judah Friedlander, James Urbaniak</t>
  </si>
  <si>
    <t>An original mix of fiction and reality illuminates the life of comic book hero everyman Harvey Pekar.</t>
  </si>
  <si>
    <t>Nominated for 1 Oscar. Another 33 wins &amp; 39 nominations.</t>
  </si>
  <si>
    <t>Fine Line Features</t>
  </si>
  <si>
    <t>40687.0</t>
  </si>
  <si>
    <t>32821.0</t>
  </si>
  <si>
    <t>https://www.rottentomatoes.com/m/american_splendor</t>
  </si>
  <si>
    <t>tt0305206</t>
  </si>
  <si>
    <t>Catch Me If You Can</t>
  </si>
  <si>
    <t>Leonardo DiCaprio, Tom Hanks, Christopher Walken, Martin Sheen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</si>
  <si>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</si>
  <si>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Nominated for 2 Oscars. Another 13 wins &amp; 27 nominations.</t>
  </si>
  <si>
    <t>1008107.0</t>
  </si>
  <si>
    <t>1523405.0</t>
  </si>
  <si>
    <t>https://www.rottentomatoes.com/m/catch_me_if_you_can</t>
  </si>
  <si>
    <t>tt0264464</t>
  </si>
  <si>
    <t>The Beasts</t>
  </si>
  <si>
    <t>Rodrigo Sorogoyen</t>
  </si>
  <si>
    <t>Marina Fo√Øs, Denis M√©nochet, Luis Zahera, Diego Anido</t>
  </si>
  <si>
    <t>gl</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</si>
  <si>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</si>
  <si>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25478.0</t>
  </si>
  <si>
    <t>76211.0</t>
  </si>
  <si>
    <t>https://www.rottentomatoes.com/m/the_beasts</t>
  </si>
  <si>
    <t>tt15006566</t>
  </si>
  <si>
    <t>Argentina, 1985</t>
  </si>
  <si>
    <t>Drama, History, Crime</t>
  </si>
  <si>
    <t>Santiago Mitre</t>
  </si>
  <si>
    <t>Ricardo Dar√≠n, Peter Lanzani, Alejandra Flechner, Paula Ransenberg</t>
  </si>
  <si>
    <t>In the 1980s, a team of lawyers takes on the heads of Argentina's bloody military dictatorship in a battle against odds and a race against time.</t>
  </si>
  <si>
    <t>46479.0</t>
  </si>
  <si>
    <t>138509.0</t>
  </si>
  <si>
    <t>https://www.rottentomatoes.com/m/argentina_1985</t>
  </si>
  <si>
    <t>tt15301048</t>
  </si>
  <si>
    <t>BlacKkKlansman</t>
  </si>
  <si>
    <t>Crime, Comedy, Drama, History</t>
  </si>
  <si>
    <t>John David Washington, Adam Driver, Topher Grace, Laura Harrier</t>
  </si>
  <si>
    <t>Colorado Springs, late 1970s. Ron Stallworth, an African American police officer, and Flip Zimmerman, his Jewish colleague, run an undercover operation to infiltrate the Ku Klux Klan.</t>
  </si>
  <si>
    <t>312654.0</t>
  </si>
  <si>
    <t>913658.0</t>
  </si>
  <si>
    <t>netflix, peacock, itunes, amzvid</t>
  </si>
  <si>
    <t>https://www.rottentomatoes.com/m/blackkklansman</t>
  </si>
  <si>
    <t>tt7349662</t>
  </si>
  <si>
    <t>Assault on Precinct 13</t>
  </si>
  <si>
    <t>Thriller, Action, Crime</t>
  </si>
  <si>
    <t>Austin Stoker, Darwin Joston, Laurie Zimmer, Martin West</t>
  </si>
  <si>
    <t>The lone inhabitants of an abandoned police station are under attack by the overwhelming numbers of a seemingly unstoppable street gang.</t>
  </si>
  <si>
    <t>1 nomination.</t>
  </si>
  <si>
    <t>Turtle Releasing</t>
  </si>
  <si>
    <t>45230.0</t>
  </si>
  <si>
    <t>86112.0</t>
  </si>
  <si>
    <t>https://www.rottentomatoes.com/m/1001280-assault_on_precinct_13</t>
  </si>
  <si>
    <t>tt0074156</t>
  </si>
  <si>
    <t>80.83</t>
  </si>
  <si>
    <t>Eraserhead</t>
  </si>
  <si>
    <t>Jack Nance, Charlotte Stewart, Allen Joseph, Jeanne Bates</t>
  </si>
  <si>
    <t>First-time father Henry Spencer tries to survive his industrial environment, his angry girlfriend, and the unbearable screams of his newly born mutant child.</t>
  </si>
  <si>
    <t>Libra Films</t>
  </si>
  <si>
    <t>171798.0</t>
  </si>
  <si>
    <t>399798.0</t>
  </si>
  <si>
    <t>https://www.rottentomatoes.com/m/eraserhead</t>
  </si>
  <si>
    <t>tt0074486</t>
  </si>
  <si>
    <t>Baby Driver</t>
  </si>
  <si>
    <t>Action, Crime</t>
  </si>
  <si>
    <t>Ansel Elgort, Kevin Spacey, Lily James, Jon Hamm</t>
  </si>
  <si>
    <t>After being coerced into working for a crime boss, a young getaway driver finds himself taking part in a heist doomed to fail.</t>
  </si>
  <si>
    <t>782217.0</t>
  </si>
  <si>
    <t>2216927.0</t>
  </si>
  <si>
    <t>https://www.rottentomatoes.com/m/baby_driver</t>
  </si>
  <si>
    <t>tt3890160</t>
  </si>
  <si>
    <t>The Secret of Kells</t>
  </si>
  <si>
    <t>Nora Twomey, Tomm Moore</t>
  </si>
  <si>
    <t>Evan McGuire, Christen Mooney, Brendan Gleeson, Mick Lally</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</si>
  <si>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</si>
  <si>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Nominated for 1 Oscar. Another 7 wins &amp; 5 nominations.</t>
  </si>
  <si>
    <t>25130.0</t>
  </si>
  <si>
    <t>52128.0</t>
  </si>
  <si>
    <t>https://www.rottentomatoes.com/m/the_secret_of_kells</t>
  </si>
  <si>
    <t>tt0485601</t>
  </si>
  <si>
    <t>West Side Story</t>
  </si>
  <si>
    <t>Robert Wise, Jerome Robbins</t>
  </si>
  <si>
    <t>Natalie Wood, Richard Beymer, Russ Tamblyn, Rita Moreno</t>
  </si>
  <si>
    <t>In the slums of the upper West Side of Manhattan, tensions are high as a gang of Polish-Americans compete against a gang of recently immigrated Puerto Ricans, but this doesn't stop two romantics from each gang falling in love.</t>
  </si>
  <si>
    <t>Won 10 Oscars. Another 18 wins &amp; 11 nominations.</t>
  </si>
  <si>
    <t>181504.0</t>
  </si>
  <si>
    <t>205886.0</t>
  </si>
  <si>
    <t>https://www.rottentomatoes.com/m/west_side_story/</t>
  </si>
  <si>
    <t>tt0055614</t>
  </si>
  <si>
    <t>Don't Look Now</t>
  </si>
  <si>
    <t>Thriller, Drama, Horror</t>
  </si>
  <si>
    <t>Nicolas Roeg</t>
  </si>
  <si>
    <t>Julie Christie, Donald Sutherland, Hilary Mason, Massimo Serato</t>
  </si>
  <si>
    <t>While grieving a terrible loss, a married couple meet two mysterious sisters, one of whom gives them a message sent from the afterlife.</t>
  </si>
  <si>
    <t>Won 1 BAFTA Film Award. Another 8 nominations.</t>
  </si>
  <si>
    <t>48307.0</t>
  </si>
  <si>
    <t>107001.0</t>
  </si>
  <si>
    <t>https://www.rottentomatoes.com/m/dont_look_now</t>
  </si>
  <si>
    <t>tt0069995</t>
  </si>
  <si>
    <t>Once Upon a Time in Anatolia</t>
  </si>
  <si>
    <t>Muhammet Uzuner, Yƒ±lmaz Erdoƒüan, Taner Birsel, Ahmet M√ºmtaz Taylan</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</si>
  <si>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</si>
  <si>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22 wins &amp; 24 nominations.</t>
  </si>
  <si>
    <t>The Cinema Guild</t>
  </si>
  <si>
    <t>20522.0</t>
  </si>
  <si>
    <t>49211.0</t>
  </si>
  <si>
    <t>https://www.rottentomatoes.com/m/once_upon_a_time_in_anatolia</t>
  </si>
  <si>
    <t>tt1827487</t>
  </si>
  <si>
    <t>The Taste of Things</t>
  </si>
  <si>
    <t>Tr·∫ßn Anh H√πng</t>
  </si>
  <si>
    <t>Beno√Æt Magimel, Juliette Binoche, Patrick d'Assum√ßao, Emmanuel Salinger</t>
  </si>
  <si>
    <t>Set in 1889 France, Dodin Bouffant is a chef living with his personal cook and lover Eug√©nie. They share a long history of gastronomy and love but Eug√©nie refuses to marry Dodin, so the food lover decides to do something he has never done before: cook for her.</t>
  </si>
  <si>
    <t>25805.0</t>
  </si>
  <si>
    <t>76768.0</t>
  </si>
  <si>
    <t>https://www.rottentomatoes.com/m/the_taste_of_things</t>
  </si>
  <si>
    <t>tt19760052</t>
  </si>
  <si>
    <t>80.8</t>
  </si>
  <si>
    <t>Judas and the Black Messiah</t>
  </si>
  <si>
    <t>Shaka King</t>
  </si>
  <si>
    <t>Daniel Kaluuya, LaKeith Stanfield, Jesse Plemons, Dominique Fishback</t>
  </si>
  <si>
    <t>Bill O'Neal infiltrates the Black Panthers on the orders of FBI Agent Mitchell and J. Edgar Hoover. As Black Panther Chairman Fred Hampton ascends‚Äîfalling for a fellow revolutionary en route‚Äîa battle wages for O‚ÄôNeal‚Äôs soul.</t>
  </si>
  <si>
    <t>101742.0</t>
  </si>
  <si>
    <t>299328.0</t>
  </si>
  <si>
    <t>https://www.rottentomatoes.com/m/judas_and_the_black_messiah</t>
  </si>
  <si>
    <t>tt9784798</t>
  </si>
  <si>
    <t>Society of the Snow</t>
  </si>
  <si>
    <t>J.A. Bayona</t>
  </si>
  <si>
    <t>Enzo Vogrincic, Agust√≠n Pardella, Mat√≠as Recalt, Esteban Bigliardi</t>
  </si>
  <si>
    <t>On October 13, 1972, Uruguayan Air Force Flight 571, chartered to take a rugby team to Chile, crashes into a glacier in the heart of the Andes.</t>
  </si>
  <si>
    <t>303260.0</t>
  </si>
  <si>
    <t>905866.0</t>
  </si>
  <si>
    <t>https://www.rottentomatoes.com/m/society_of_the_snow</t>
  </si>
  <si>
    <t>tt16277242</t>
  </si>
  <si>
    <t>Fire of Love</t>
  </si>
  <si>
    <t>Sara Dosa</t>
  </si>
  <si>
    <t>Katia Krafft, Maurice Krafft, Alka Balbir, Guillaume Tremblay</t>
  </si>
  <si>
    <t>A doomed love triangle between intrepid French scientists Katia and Maurice Krafft, and their beloved volcanoes.</t>
  </si>
  <si>
    <t>35029.0</t>
  </si>
  <si>
    <t>104389.0</t>
  </si>
  <si>
    <t>disney, hulu</t>
  </si>
  <si>
    <t>https://www.rottentomatoes.com/m/fire_of_love</t>
  </si>
  <si>
    <t>tt16227014</t>
  </si>
  <si>
    <t>Decision to Leave</t>
  </si>
  <si>
    <t>Thriller, Mystery, Romance</t>
  </si>
  <si>
    <t>Tang Wei, Park Hae-il, Lee Jung-hyun, Go Kyung-pyo</t>
  </si>
  <si>
    <t>From a mountain peak in South Korea, a man plummets to his death. Did he jump, or was he pushed? When detective Hae-joon arrives on the scene, he begins to suspect the dead man‚Äôs wife Seo-rae. But as he digs deeper into the investigation, he finds himself trapped in a web of deception and desire.</t>
  </si>
  <si>
    <t>106462.0</t>
  </si>
  <si>
    <t>317920.0</t>
  </si>
  <si>
    <t>https://www.rottentomatoes.com/m/decision_to_leave</t>
  </si>
  <si>
    <t>tt12477480</t>
  </si>
  <si>
    <t>Ex Machina</t>
  </si>
  <si>
    <t>Alex Garland</t>
  </si>
  <si>
    <t>Domhnall Gleeson, Alicia Vikander, Oscar Isaac, Sonoya Mizuno</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</si>
  <si>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</si>
  <si>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A24</t>
  </si>
  <si>
    <t>401977.0</t>
  </si>
  <si>
    <t>1057393.0</t>
  </si>
  <si>
    <t>netflix, itunes, amzvid, hbm</t>
  </si>
  <si>
    <t>https://www.rottentomatoes.com/m/ex_machina</t>
  </si>
  <si>
    <t>tt0470752</t>
  </si>
  <si>
    <t>80.67</t>
  </si>
  <si>
    <t>Blow Out</t>
  </si>
  <si>
    <t>Thriller, Mystery, Crime, Drama</t>
  </si>
  <si>
    <t>Brian De Palma</t>
  </si>
  <si>
    <t>John Travolta, Nancy Allen, John Lithgow, Dennis Franz</t>
  </si>
  <si>
    <t>While recording sound effects for a slasher flick, Jack Terry stumbles upon a real-life horror: a car careening off a bridge and into a river. Jack jumps into the water and fishes out Sally from the car, but the other passenger is already dead ‚Äî a governor intending to run for president. As Jack does some investigating of his tapes, and starts a perilous romance with Sally, he enters a tangled web of conspiracy that might leave him dead.</t>
  </si>
  <si>
    <t>Filmways Pictures</t>
  </si>
  <si>
    <t>72170.0</t>
  </si>
  <si>
    <t>192708.0</t>
  </si>
  <si>
    <t>https://www.rottentomatoes.com/m/blow_out</t>
  </si>
  <si>
    <t>tt0082085</t>
  </si>
  <si>
    <t>Carrie</t>
  </si>
  <si>
    <t>Sissy Spacek, Piper Laurie, Amy Irving, William Katt</t>
  </si>
  <si>
    <t>Withdrawn and sensitive teen Carrie White faces taunting from classmates at school and abuse from her fanatically pious mother. When strange occurrences start happening around Carrie, she begins to suspect that she has supernatural powers.</t>
  </si>
  <si>
    <t>Nominated for 2 Oscars. Another 4 wins &amp; 4 nominations.</t>
  </si>
  <si>
    <t>440494.0</t>
  </si>
  <si>
    <t>614228.0</t>
  </si>
  <si>
    <t>https://www.rottentomatoes.com/m/1003625_carrie?</t>
  </si>
  <si>
    <t>tt0074285</t>
  </si>
  <si>
    <t>Drive</t>
  </si>
  <si>
    <t>Nicolas Winding Refn</t>
  </si>
  <si>
    <t>Ryan Gosling, Carey Mulligan, Bryan Cranston, Albert Brooks</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</si>
  <si>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</si>
  <si>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Nominated for 1 Oscar. Another 87 wins &amp; 133 nominations.</t>
  </si>
  <si>
    <t>FilmDistrict</t>
  </si>
  <si>
    <t>557384.0</t>
  </si>
  <si>
    <t>1431744.0</t>
  </si>
  <si>
    <t>https://www.rottentomatoes.com/m/drive_2011</t>
  </si>
  <si>
    <t>tt0780504</t>
  </si>
  <si>
    <t>Black Panther</t>
  </si>
  <si>
    <t>Chadwick Boseman, Michael B. Jordan, Lupita Nyong'o, Danai Gurira</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</si>
  <si>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</si>
  <si>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754859.0</t>
  </si>
  <si>
    <t>2088155.0</t>
  </si>
  <si>
    <t>https://www.rottentomatoes.com/m/black_panther_2018</t>
  </si>
  <si>
    <t>tt1825683</t>
  </si>
  <si>
    <t>Heavenly Creatures</t>
  </si>
  <si>
    <t>Drama, Fantasy</t>
  </si>
  <si>
    <t>Melanie Lynskey, Kate Winslet, Sarah Peirse, Diana Kent</t>
  </si>
  <si>
    <t>Precocious teenager Juliet moves to New Zealand with her family and soon befriends the quiet, brooding Pauline through their shared love of fantasy and literature. This friendship gradually develops into an intense and obsessive bond.</t>
  </si>
  <si>
    <t>Nominated for 1 Oscar. Another 16 wins &amp; 8 nominations.</t>
  </si>
  <si>
    <t>45694.0</t>
  </si>
  <si>
    <t>56678.0</t>
  </si>
  <si>
    <t>https://www.rottentomatoes.com/m/heavenly_creatures/</t>
  </si>
  <si>
    <t>tt0110005</t>
  </si>
  <si>
    <t>Blade Runner 2049</t>
  </si>
  <si>
    <t>Ryan Gosling, Harrison Ford, Ana de Armas, Dave Bautista</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</si>
  <si>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</si>
  <si>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560448.0</t>
  </si>
  <si>
    <t>1608736.0</t>
  </si>
  <si>
    <t>https://www.rottentomatoes.com/m/blade_runner_2049</t>
  </si>
  <si>
    <t>tt1856101</t>
  </si>
  <si>
    <t>American Fiction</t>
  </si>
  <si>
    <t>Cord Jefferson</t>
  </si>
  <si>
    <t>Jeffrey Wright, John Ortiz, Erika Alexander, Leslie Uggams</t>
  </si>
  <si>
    <t>A novelist fed up with the establishment profiting from "Black" entertainment uses a pen name to write a book that propels him into the heart of hypocrisy and the madness he claims to disdain.</t>
  </si>
  <si>
    <t>166174.0</t>
  </si>
  <si>
    <t>492612.0</t>
  </si>
  <si>
    <t>https://www.rottentomatoes.com/m/american_fiction</t>
  </si>
  <si>
    <t>tt23561236</t>
  </si>
  <si>
    <t>80.6</t>
  </si>
  <si>
    <t>Suzume</t>
  </si>
  <si>
    <t>Animation, Drama, Adventure, Fantasy</t>
  </si>
  <si>
    <t>Nanoka Hara, Hokuto Matsumura, Eri Fukatsu, Shota Sometani</t>
  </si>
  <si>
    <t>Suzume, 17, lost her mother as a little girl. On her way to school, she meets a mysterious young man. But her curiosity unleashes a calamity that endangers the entire population of Japan, and so Suzume embarks on a journey to set things right.</t>
  </si>
  <si>
    <t>98174.0</t>
  </si>
  <si>
    <t>289215.0</t>
  </si>
  <si>
    <t>https://www.rottentomatoes.com/m/suzume</t>
  </si>
  <si>
    <t>tt16428256</t>
  </si>
  <si>
    <t>Sideways</t>
  </si>
  <si>
    <t>Paul Giamatti, Thomas Haden Church, Virginia Madsen, Sandra Oh</t>
  </si>
  <si>
    <t>Two middle-aged men embark on a spiritual journey through Californian wine country. One is an unpublished novelist suffering from depression, and the other is only days away from walking down the aisle.</t>
  </si>
  <si>
    <t>Won 1 Oscar. Another 117 wins &amp; 68 nominations.</t>
  </si>
  <si>
    <t>179804.0</t>
  </si>
  <si>
    <t>143413.0</t>
  </si>
  <si>
    <t>disney, itunes, amzvid, hbm</t>
  </si>
  <si>
    <t>https://www.rottentomatoes.com/m/sideways</t>
  </si>
  <si>
    <t>tt0375063</t>
  </si>
  <si>
    <t>80.5</t>
  </si>
  <si>
    <t>Spider-Man 2</t>
  </si>
  <si>
    <t>Sam Raimi</t>
  </si>
  <si>
    <t>Tobey Maguire, Kirsten Dunst, James Franco, Alfred Molina</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</si>
  <si>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</si>
  <si>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Won 1 Oscar. Another 19 wins &amp; 44 nominations.</t>
  </si>
  <si>
    <t>1259923.0</t>
  </si>
  <si>
    <t>1475998.0</t>
  </si>
  <si>
    <t>tt0316654</t>
  </si>
  <si>
    <t>A Star Is Born</t>
  </si>
  <si>
    <t>Music, Drama, Romance</t>
  </si>
  <si>
    <t>Bradley Cooper</t>
  </si>
  <si>
    <t>Lady Gaga, Bradley Cooper, Sam Elliott, Andrew Dice Clay</t>
  </si>
  <si>
    <t>Seasoned musician Jackson Maine discovers ‚Äî and falls in love with ‚Äî struggling artist Ally. She has just about given up on her dream to make it big as a singer ‚Äî until Jack coaxes her into the spotlight. But even as Ally's career takes off, the personal side of their relationship is breaking down, as Jack fights an ongoing battle with his own internal demons.</t>
  </si>
  <si>
    <t>302610.0</t>
  </si>
  <si>
    <t>864619.0</t>
  </si>
  <si>
    <t>https://www.rottentomatoes.com/m/a_star_is_born_2018</t>
  </si>
  <si>
    <t>tt1517451</t>
  </si>
  <si>
    <t>The White Ribbon</t>
  </si>
  <si>
    <t>Christian Friedel, Ernst Jacobi, Leonie Benesch, Ulrich Tukur</t>
  </si>
  <si>
    <t>An aged tailor recalls his life as the schoolteacher of a small village in Northern Germany that was struck by a series of strange events in the year leading up to WWI.</t>
  </si>
  <si>
    <t>Nominated for 2 Oscars. Another 61 wins &amp; 26 nominations.</t>
  </si>
  <si>
    <t>83194.0</t>
  </si>
  <si>
    <t>69426.0</t>
  </si>
  <si>
    <t>https://www.rottentomatoes.com/m/white_ribbon</t>
  </si>
  <si>
    <t>tt1149362</t>
  </si>
  <si>
    <t>Top Gun: Maverick</t>
  </si>
  <si>
    <t>Joseph Kosinski</t>
  </si>
  <si>
    <t>Tom Cruise, Miles Teller, Monica Barbaro, Lewis Pullman</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</si>
  <si>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</si>
  <si>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587898.0</t>
  </si>
  <si>
    <t>1581141.0</t>
  </si>
  <si>
    <t>prime, paramount</t>
  </si>
  <si>
    <t>https://www.rottentomatoes.com/m/top_gun_maverick</t>
  </si>
  <si>
    <t>tt1745960</t>
  </si>
  <si>
    <t>80.4</t>
  </si>
  <si>
    <t>The Fly</t>
  </si>
  <si>
    <t>David Cronenberg</t>
  </si>
  <si>
    <t>Jeff Goldblum, Geena Davis, John Getz, Joy Boushel</t>
  </si>
  <si>
    <t>When Seth Brundle makes a huge scientific and technological breakthrough in teleportation, he decides to test it on himself. Unbeknownst to him, a common housefly manages to get inside the device and the two become one.</t>
  </si>
  <si>
    <t>Won 1 Oscar. Another 7 wins &amp; 9 nominations.</t>
  </si>
  <si>
    <t>Fox</t>
  </si>
  <si>
    <t>192023.0</t>
  </si>
  <si>
    <t>395137.0</t>
  </si>
  <si>
    <t>https://www.rottentomatoes.com/m/1007602_fly</t>
  </si>
  <si>
    <t>tt0091064</t>
  </si>
  <si>
    <t>80.33</t>
  </si>
  <si>
    <t>Birdman: Or (The Unexpected Virtue of Ignorance)</t>
  </si>
  <si>
    <t>Michael Keaton, Emma Stone, Zach Galifianakis, Edward Norton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</si>
  <si>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</si>
  <si>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Won 4 Oscars. Another 206 wins &amp; 183 nominations.</t>
  </si>
  <si>
    <t>378073.0</t>
  </si>
  <si>
    <t>946005.0</t>
  </si>
  <si>
    <t>https://www.rottentomatoes.com/m/birdman_2014</t>
  </si>
  <si>
    <t>tt2562232</t>
  </si>
  <si>
    <t>Ida</t>
  </si>
  <si>
    <t>Agata Kulesza, Agata Trzebuchowska, Dawid Ogrodnik, Jerzy Trela</t>
  </si>
  <si>
    <t>Anna, a young novitiate in 1960s Poland, is on the verge of taking her vows when she discovers a family secret dating back to the years of the German occupation.</t>
  </si>
  <si>
    <t>Won 1 Oscar. Another 71 wins &amp; 64 nominations.</t>
  </si>
  <si>
    <t>Music Box Films</t>
  </si>
  <si>
    <t>39105.0</t>
  </si>
  <si>
    <t>81214.0</t>
  </si>
  <si>
    <t>prime, mubi, itunes</t>
  </si>
  <si>
    <t>https://www.rottentomatoes.com/m/ida_2013</t>
  </si>
  <si>
    <t>tt2718492</t>
  </si>
  <si>
    <t>80.17</t>
  </si>
  <si>
    <t>Frances Ha</t>
  </si>
  <si>
    <t>Greta Gerwig, Mickey Sumner, Michael Zegen, Adam Driver</t>
  </si>
  <si>
    <t>An aspiring dancer moves to New York City and becomes caught up in a whirlwind of flighty fair-weather friends, diminishing fortunes and career setbacks.</t>
  </si>
  <si>
    <t>Nominated for 1 Golden Globe. Another 9 wins &amp; 32 nominations.</t>
  </si>
  <si>
    <t>183802.0</t>
  </si>
  <si>
    <t>510614.0</t>
  </si>
  <si>
    <t>https://www.rottentomatoes.com/m/frances_ha_2013</t>
  </si>
  <si>
    <t>tt2347569</t>
  </si>
  <si>
    <t>The Death of Stalin</t>
  </si>
  <si>
    <t>Comedy, Drama, History</t>
  </si>
  <si>
    <t>Armando Iannucci</t>
  </si>
  <si>
    <t>Steve Buscemi, Simon Russell Beale, Jeffrey Tambor, Jason Isaacs</t>
  </si>
  <si>
    <t>When dictator Joseph Stalin dies, his parasitic cronies square off in a frantic power struggle to become the next Soviet leader. As they bumble, brawl and back-stab their way to the top, the question remains ‚Äî just who is running the government?</t>
  </si>
  <si>
    <t>79907.0</t>
  </si>
  <si>
    <t>225921.0</t>
  </si>
  <si>
    <t>mubi, hulu, itunes, amzvid</t>
  </si>
  <si>
    <t>https://www.rottentomatoes.com/m/the_death_of_stalin</t>
  </si>
  <si>
    <t>tt4686844</t>
  </si>
  <si>
    <t>Son of Saul</t>
  </si>
  <si>
    <t>War, Drama, Thriller</t>
  </si>
  <si>
    <t>L√°szl√≥ Nemes</t>
  </si>
  <si>
    <t>G√©za R√∂hrig, Levente Moln√°r, Urs Rechn, Todd Charmont</t>
  </si>
  <si>
    <t>hu</t>
  </si>
  <si>
    <t>In the horror of 1944 Auschwitz, a prisoner forced to burn the corpses of his own people finds moral survival trying to save from the flames the body of a boy he takes for his son, seeking to give him a proper jewish burial.</t>
  </si>
  <si>
    <t>5 wins &amp; 8 nominations.</t>
  </si>
  <si>
    <t>26403.0</t>
  </si>
  <si>
    <t>53092.0</t>
  </si>
  <si>
    <t>66.0</t>
  </si>
  <si>
    <t>https://www.rottentomatoes.com/m/son_of_saul</t>
  </si>
  <si>
    <t>tt3808342</t>
  </si>
  <si>
    <t>M</t>
  </si>
  <si>
    <t>Peter Lorre, Ellen Widmann, Inge Landgut, Otto Wernicke</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</si>
  <si>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</si>
  <si>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2 wins.</t>
  </si>
  <si>
    <t>Foremco</t>
  </si>
  <si>
    <t>80258.0</t>
  </si>
  <si>
    <t>168051.0</t>
  </si>
  <si>
    <t>46.0</t>
  </si>
  <si>
    <t>https://www.rottentomatoes.com/m/1012928_m?</t>
  </si>
  <si>
    <t>tt0022100</t>
  </si>
  <si>
    <t>Kill Bill: Vol. 1</t>
  </si>
  <si>
    <t>Uma Thurman, Lucy Liu, Vivica A. Fox, Daryl Hannah</t>
  </si>
  <si>
    <t>An assassin is shot by her ruthless employer, Bill, and other members of their assassination circle ‚Äì but she lives to plot her vengeance.</t>
  </si>
  <si>
    <t>Nominated for 1 Golden Globe. Another 23 wins &amp; 64 nominations.</t>
  </si>
  <si>
    <t>22372068.0</t>
  </si>
  <si>
    <t>2000199.0</t>
  </si>
  <si>
    <t>https://www.rottentomatoes.com/m/kill_bill_vol_1/</t>
  </si>
  <si>
    <t>tt0266697</t>
  </si>
  <si>
    <t>Cat People</t>
  </si>
  <si>
    <t>Mystery, Horror, Romance</t>
  </si>
  <si>
    <t>Jacques Tourneur</t>
  </si>
  <si>
    <t>Simone Simon, Kent Smith, Tom Conway, Jane Randolph</t>
  </si>
  <si>
    <t>A Serbian √©migr√© in Manhattan believes that, because of an ancient curse, any physical intimacy with the man she loves will turn her into a feline predator.</t>
  </si>
  <si>
    <t>27875.0</t>
  </si>
  <si>
    <t>67874.0</t>
  </si>
  <si>
    <t>https://www.rottentomatoes.com/m/1003757-cat_people</t>
  </si>
  <si>
    <t>tt0034587</t>
  </si>
  <si>
    <t>79.33</t>
  </si>
  <si>
    <t>Rocky</t>
  </si>
  <si>
    <t>John G. Avildsen</t>
  </si>
  <si>
    <t>Sylvester Stallone, Talia Shire, Burt Young, Carl Weathers</t>
  </si>
  <si>
    <t>An uneducated collector for a Philadelphia loan shark is given a once-in-a-lifetime opportunity to fight against the world heavyweight boxing champion.</t>
  </si>
  <si>
    <t>Won 3 Oscars. Another 17 wins &amp; 20 nominations.</t>
  </si>
  <si>
    <t>22486658.0</t>
  </si>
  <si>
    <t>651986.0</t>
  </si>
  <si>
    <t>https://www.rottentomatoes.com/m/1017776-rocky</t>
  </si>
  <si>
    <t>tt0075148</t>
  </si>
  <si>
    <t>79.17</t>
  </si>
  <si>
    <t>Phantom Thread</t>
  </si>
  <si>
    <t>Daniel Day-Lewis, Vicky Krieps, Lesley Manville, Camilla Rutherford</t>
  </si>
  <si>
    <t>In 1950s London, a renowned dressmaker's meticulous lifestyle begins drastically changing as his relationship with his young muse intensifies.</t>
  </si>
  <si>
    <t>158555.0</t>
  </si>
  <si>
    <t>459029.0</t>
  </si>
  <si>
    <t>https://www.rottentomatoes.com/m/phantom_thread</t>
  </si>
  <si>
    <t>tt5776858</t>
  </si>
  <si>
    <t>Paterson</t>
  </si>
  <si>
    <t>Jim Jarmusch</t>
  </si>
  <si>
    <t>Adam Driver, Golshifteh Farahani, Nellie, Rizwan Manji</t>
  </si>
  <si>
    <t>A week in the life of Paterson, a poet bus driver, and his wife Laura, a very creative artist, who live in Paterson, New Jersey, hometown of many famous poets and artists.</t>
  </si>
  <si>
    <t>74548.0</t>
  </si>
  <si>
    <t>190980.0</t>
  </si>
  <si>
    <t>https://www.rottentomatoes.com/m/paterson</t>
  </si>
  <si>
    <t>tt5247022</t>
  </si>
  <si>
    <t>Titanic</t>
  </si>
  <si>
    <t>Leonardo DiCaprio, Kate Winslet, Billy Zane, Kathy Bates</t>
  </si>
  <si>
    <t>101-year-old Rose DeWitt Bukater tells the story of her life aboard the Titanic, 84 years later. A young Rose boards the ship with her mother and fianc√©. Meanwhile, Jack Dawson and Fabrizio De Rossi win third-class tickets aboard the ship. Rose tells the whole story from Titanic's departure through to its death‚Äîon its first and last voyage‚Äîon April 15, 1912.</t>
  </si>
  <si>
    <t>Won 11 Oscars. Another 106 wins &amp; 73 nominations.</t>
  </si>
  <si>
    <t>24549197.0</t>
  </si>
  <si>
    <t>2052322.0</t>
  </si>
  <si>
    <t>https://www.rottentomatoes.com/m/titanic/</t>
  </si>
  <si>
    <t>tt0120338</t>
  </si>
  <si>
    <t>Uncut Gems</t>
  </si>
  <si>
    <t>Josh Safdie, Benny Safdie</t>
  </si>
  <si>
    <t>Adam Sandler, LaKeith Stanfield, Julia Fox, Kevin Garnett</t>
  </si>
  <si>
    <t>Howard is a successful New York City jeweler for the rich and famous, but his vice of gambling for the next big score gets him in trouble. He makes a series of bets with large amounts of other people‚Äôs assets and money, which leads him into a spiral of difficulties. Howard needs to balance his family, his business, and his foes, whilst all the time still aiming for that ultimate payout.</t>
  </si>
  <si>
    <t>57.0</t>
  </si>
  <si>
    <t>438510.0</t>
  </si>
  <si>
    <t>1265981.0</t>
  </si>
  <si>
    <t>https://www.rottentomatoes.com/m/uncut_gems</t>
  </si>
  <si>
    <t>tt5727208</t>
  </si>
  <si>
    <t/>
  </si>
  <si>
    <t>Céline Sciamma</t>
  </si>
  <si>
    <t>Miloš Forman</t>
  </si>
  <si>
    <t>WALL·E</t>
  </si>
  <si>
    <t>François Truffaut</t>
  </si>
  <si>
    <t>8½</t>
  </si>
  <si>
    <t>Colm Bairéad</t>
  </si>
  <si>
    <t>Pedro Almodóvar</t>
  </si>
  <si>
    <t>Juan José Campanella</t>
  </si>
  <si>
    <t>Ryūsuke Hamaguchi</t>
  </si>
  <si>
    <t>Alfonso Cuarón</t>
  </si>
  <si>
    <t>Y Tu Mamá También</t>
  </si>
  <si>
    <t>Alejandro González Iñárritu</t>
  </si>
  <si>
    <t>Fabián Bielinsky</t>
  </si>
  <si>
    <t>1917</t>
  </si>
  <si>
    <t>Amélie</t>
  </si>
  <si>
    <t>Damián Szifron</t>
  </si>
  <si>
    <t>Deniz Gamze Ergüven</t>
  </si>
  <si>
    <t>Paweł Pawlikowski</t>
  </si>
  <si>
    <t>Jean-Marc Vallée</t>
  </si>
  <si>
    <t>Ishirō Honda</t>
  </si>
  <si>
    <t>Luis Buñuel</t>
  </si>
  <si>
    <t>Trần Anh Hùng</t>
  </si>
  <si>
    <t>László Nemes</t>
  </si>
  <si>
    <t>General Statistic</t>
  </si>
  <si>
    <t>Average IMBD raiting</t>
  </si>
  <si>
    <t>Average Metacritic</t>
  </si>
  <si>
    <t>General count of films</t>
  </si>
  <si>
    <t>Highest IMDB raiting</t>
  </si>
  <si>
    <t>Lowest IMDB raiting</t>
  </si>
  <si>
    <t>TOP genres</t>
  </si>
  <si>
    <t>Crime</t>
  </si>
  <si>
    <t>Thriller</t>
  </si>
  <si>
    <t>Action</t>
  </si>
  <si>
    <t>Romance</t>
  </si>
  <si>
    <t>Animation</t>
  </si>
  <si>
    <t>War</t>
  </si>
  <si>
    <t>Average IMDB per genre</t>
  </si>
  <si>
    <t>Count</t>
  </si>
  <si>
    <t>Critics vs Audience</t>
  </si>
  <si>
    <t>Gap_Score</t>
  </si>
  <si>
    <t>Average gap critics vs audience</t>
  </si>
  <si>
    <t>MAX gap(critics higher)</t>
  </si>
  <si>
    <t>MAX gap(audience higher)</t>
  </si>
  <si>
    <t>Critics LIKE, audience - NO</t>
  </si>
  <si>
    <t xml:space="preserve">Film </t>
  </si>
  <si>
    <t>Gap</t>
  </si>
  <si>
    <t>Audience LIKES, critics - NO</t>
  </si>
  <si>
    <t>Film</t>
  </si>
  <si>
    <t>Decade</t>
  </si>
  <si>
    <t>Analysis by decade</t>
  </si>
  <si>
    <t>Count of films</t>
  </si>
  <si>
    <t>Average IMDB</t>
  </si>
  <si>
    <t>Critics vs Audience Rating</t>
  </si>
  <si>
    <t>TOP 450 MOVIES — DATA ANALYSIS</t>
  </si>
  <si>
    <r>
      <t xml:space="preserve">Best genre - </t>
    </r>
    <r>
      <rPr>
        <sz val="24"/>
        <color rgb="FFFFFF00"/>
        <rFont val="Calibri (Body)"/>
      </rPr>
      <t>WAR /</t>
    </r>
    <r>
      <rPr>
        <sz val="24"/>
        <color theme="0"/>
        <rFont val="Calibri"/>
        <family val="2"/>
        <scheme val="minor"/>
      </rPr>
      <t xml:space="preserve"> </t>
    </r>
    <r>
      <rPr>
        <sz val="24"/>
        <color theme="0"/>
        <rFont val="Calibri (Body)"/>
      </rPr>
      <t>8,14 IMDB</t>
    </r>
  </si>
  <si>
    <t>KEY FINDINGS:</t>
  </si>
  <si>
    <t>- 1990s had highest average IMDb rating (8.19)</t>
  </si>
  <si>
    <t>- Fight Club has the biggest gap: audience rates 21pts higher than critics</t>
  </si>
  <si>
    <t>- 2010s produced the most top-rated films (115)</t>
  </si>
  <si>
    <t>- Drama is the most common genre</t>
  </si>
  <si>
    <t>Row Labels</t>
  </si>
  <si>
    <t>Grand Total</t>
  </si>
  <si>
    <t>Average of IMDb_10</t>
  </si>
  <si>
    <t>Count of IMDb_10</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</si>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</sst>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0" x14ac:knownFonts="1">
    <font>
      <sz val="12"/>
      <color theme="1"/>
      <name val="Calibri"/>
      <family val="2"/>
      <scheme val="minor"/>
    </font>
    <font>
      <sz val="12"/>
      <color theme="1"/>
      <name val="Calibri"/>
      <family val="2"/>
      <scheme val="minor"/>
    </font>
    <font>
      <b/>
      <sz val="12"/>
      <color theme="1"/>
      <name val="Calibri"/>
      <family val="2"/>
      <scheme val="minor"/>
    </font>
    <font>
      <sz val="22"/>
      <color rgb="FFFFFF00"/>
      <name val="Bodoni 72 Oldstyle Bold"/>
    </font>
    <font>
      <sz val="16"/>
      <color theme="0"/>
      <name val="Calibri"/>
      <family val="2"/>
      <scheme val="minor"/>
    </font>
    <font>
      <sz val="18"/>
      <color theme="0"/>
      <name val="Calibri"/>
      <family val="2"/>
      <scheme val="minor"/>
    </font>
    <font>
      <sz val="24"/>
      <color theme="0"/>
      <name val="Calibri"/>
      <family val="2"/>
      <scheme val="minor"/>
    </font>
    <font>
      <sz val="24"/>
      <color rgb="FFFFFF00"/>
      <name val="Calibri (Body)"/>
    </font>
    <font>
      <sz val="24"/>
      <color theme="0"/>
      <name val="Calibri (Body)"/>
    </font>
    <font>
      <sz val="18"/>
      <color rgb="FFFFFF00"/>
      <name val="Calibri (Body)"/>
    </font>
  </fonts>
  <fills count="7">
    <fill>
      <patternFill patternType="none"/>
    </fill>
    <fill>
      <patternFill patternType="gray125"/>
    </fill>
    <fill>
      <patternFill patternType="solid">
        <fgColor theme="9" tint="0.59999389629810485"/>
        <bgColor indexed="64"/>
      </patternFill>
    </fill>
    <fill>
      <patternFill patternType="solid">
        <fgColor rgb="FFFF7878"/>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16" fontId="0" fillId="0" borderId="0" xfId="0" applyNumberFormat="1"/>
    <xf numFmtId="2" fontId="0" fillId="0" borderId="0" xfId="0" applyNumberFormat="1"/>
    <xf numFmtId="164" fontId="0" fillId="0" borderId="0" xfId="1" applyNumberFormat="1" applyFont="1"/>
    <xf numFmtId="165" fontId="0" fillId="0" borderId="0" xfId="0" applyNumberFormat="1"/>
    <xf numFmtId="1" fontId="0" fillId="0" borderId="0" xfId="0" applyNumberFormat="1"/>
    <xf numFmtId="0" fontId="0" fillId="0" borderId="1" xfId="0" applyBorder="1"/>
    <xf numFmtId="0" fontId="0" fillId="0" borderId="1" xfId="0" applyBorder="1" applyAlignment="1">
      <alignment horizontal="center" vertical="center"/>
    </xf>
    <xf numFmtId="0" fontId="0" fillId="2" borderId="1" xfId="0" applyFill="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center"/>
    </xf>
    <xf numFmtId="2" fontId="0" fillId="0" borderId="1" xfId="0" applyNumberFormat="1" applyBorder="1"/>
    <xf numFmtId="0" fontId="0" fillId="5" borderId="1" xfId="0" applyFill="1" applyBorder="1"/>
    <xf numFmtId="2" fontId="0" fillId="3" borderId="1" xfId="0" applyNumberFormat="1" applyFill="1" applyBorder="1"/>
    <xf numFmtId="0" fontId="0" fillId="0" borderId="1" xfId="0" applyBorder="1" applyAlignment="1">
      <alignment horizontal="left" vertical="center"/>
    </xf>
    <xf numFmtId="0" fontId="2" fillId="0" borderId="1" xfId="0" applyFont="1" applyBorder="1" applyAlignment="1">
      <alignment horizontal="center" vertical="center"/>
    </xf>
    <xf numFmtId="0" fontId="2" fillId="4" borderId="1" xfId="0" applyFont="1" applyFill="1" applyBorder="1"/>
    <xf numFmtId="0" fontId="2" fillId="4" borderId="1" xfId="0" applyFont="1" applyFill="1" applyBorder="1" applyAlignment="1">
      <alignment horizont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2" fillId="4" borderId="1" xfId="0" applyFont="1" applyFill="1" applyBorder="1" applyAlignment="1">
      <alignment horizontal="center" vertical="center"/>
    </xf>
    <xf numFmtId="2" fontId="0" fillId="0" borderId="1" xfId="0" applyNumberFormat="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2" fontId="0" fillId="3" borderId="1" xfId="0" applyNumberFormat="1" applyFill="1" applyBorder="1" applyAlignment="1">
      <alignment horizontal="center"/>
    </xf>
    <xf numFmtId="2" fontId="0" fillId="2" borderId="1" xfId="0" applyNumberFormat="1" applyFill="1" applyBorder="1" applyAlignment="1">
      <alignment horizontal="center"/>
    </xf>
    <xf numFmtId="0" fontId="0" fillId="6" borderId="0" xfId="0" applyFill="1"/>
    <xf numFmtId="0" fontId="5" fillId="6" borderId="0" xfId="0" applyFont="1" applyFill="1"/>
    <xf numFmtId="0" fontId="3" fillId="6" borderId="0" xfId="0" applyFont="1" applyFill="1" applyAlignment="1">
      <alignment horizontal="center"/>
    </xf>
    <xf numFmtId="0" fontId="4" fillId="6" borderId="0" xfId="0" applyFont="1" applyFill="1" applyAlignment="1">
      <alignment horizontal="center"/>
    </xf>
    <xf numFmtId="0" fontId="6" fillId="6" borderId="0" xfId="0" applyFont="1" applyFill="1" applyAlignment="1">
      <alignment horizontal="center"/>
    </xf>
    <xf numFmtId="2" fontId="6" fillId="6" borderId="0" xfId="0" applyNumberFormat="1" applyFont="1" applyFill="1" applyAlignment="1">
      <alignment horizontal="center"/>
    </xf>
    <xf numFmtId="49" fontId="5" fillId="6" borderId="0" xfId="0" applyNumberFormat="1" applyFont="1" applyFill="1" applyAlignment="1">
      <alignment horizontal="left" wrapText="1"/>
    </xf>
    <xf numFmtId="0" fontId="9" fillId="6" borderId="0" xfId="0" applyFont="1" applyFill="1"/>
    <xf numFmtId="0" fontId="0" fillId="0" borderId="0" xfId="0" pivotButton="1"/>
    <xf numFmtId="0" fontId="0" fillId="0" borderId="0" xfId="0" applyAlignment="1">
      <alignment horizontal="left"/>
    </xf>
    <xf numFmtId="0" fontId="0" fillId="0" borderId="0" xfId="0" applyNumberFormat="1"/>
  </cellXfs>
  <cellStyles count="2">
    <cellStyle name="Comma" xfId="1" builtinId="3"/>
    <cellStyle name="Normal" xfId="0" builtinId="0"/>
  </cellStyles>
  <dxfs count="25">
    <dxf>
      <numFmt numFmtId="1" formatCode="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164" formatCode="_-* #,##0_-;\-* #,##0_-;_-* &quot;-&quot;??_-;_-@_-"/>
    </dxf>
    <dxf>
      <numFmt numFmtId="21" formatCode="dd/mmm"/>
    </dxf>
  </dxfs>
  <tableStyles count="0" defaultTableStyle="TableStyleMedium2" defaultPivotStyle="PivotStyleLight16"/>
  <colors>
    <mruColors>
      <color rgb="FFFF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A"/>
        </a:p>
      </c:txPr>
    </c:title>
    <c:autoTitleDeleted val="0"/>
    <c:plotArea>
      <c:layout/>
      <c:barChart>
        <c:barDir val="col"/>
        <c:grouping val="clustered"/>
        <c:varyColors val="0"/>
        <c:ser>
          <c:idx val="0"/>
          <c:order val="0"/>
          <c:tx>
            <c:strRef>
              <c:f>Analysis!$B$36</c:f>
              <c:strCache>
                <c:ptCount val="1"/>
                <c:pt idx="0">
                  <c:v>Count of films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Analysis!$A$37:$A$47</c:f>
              <c:numCache>
                <c:formatCode>General</c:formatCode>
                <c:ptCount val="11"/>
                <c:pt idx="0">
                  <c:v>1920</c:v>
                </c:pt>
                <c:pt idx="1">
                  <c:v>1930</c:v>
                </c:pt>
                <c:pt idx="2">
                  <c:v>1940</c:v>
                </c:pt>
                <c:pt idx="3">
                  <c:v>1950</c:v>
                </c:pt>
                <c:pt idx="4">
                  <c:v>1960</c:v>
                </c:pt>
                <c:pt idx="5">
                  <c:v>1970</c:v>
                </c:pt>
                <c:pt idx="6">
                  <c:v>1980</c:v>
                </c:pt>
                <c:pt idx="7">
                  <c:v>1990</c:v>
                </c:pt>
                <c:pt idx="8">
                  <c:v>2000</c:v>
                </c:pt>
                <c:pt idx="9">
                  <c:v>2010</c:v>
                </c:pt>
                <c:pt idx="10">
                  <c:v>2020</c:v>
                </c:pt>
              </c:numCache>
            </c:numRef>
          </c:cat>
          <c:val>
            <c:numRef>
              <c:f>Analysis!$B$37:$B$47</c:f>
              <c:numCache>
                <c:formatCode>General</c:formatCode>
                <c:ptCount val="11"/>
                <c:pt idx="0">
                  <c:v>4</c:v>
                </c:pt>
                <c:pt idx="1">
                  <c:v>12</c:v>
                </c:pt>
                <c:pt idx="2">
                  <c:v>18</c:v>
                </c:pt>
                <c:pt idx="3">
                  <c:v>25</c:v>
                </c:pt>
                <c:pt idx="4">
                  <c:v>29</c:v>
                </c:pt>
                <c:pt idx="5">
                  <c:v>40</c:v>
                </c:pt>
                <c:pt idx="6">
                  <c:v>27</c:v>
                </c:pt>
                <c:pt idx="7">
                  <c:v>42</c:v>
                </c:pt>
                <c:pt idx="8">
                  <c:v>85</c:v>
                </c:pt>
                <c:pt idx="9">
                  <c:v>115</c:v>
                </c:pt>
                <c:pt idx="10">
                  <c:v>52</c:v>
                </c:pt>
              </c:numCache>
            </c:numRef>
          </c:val>
          <c:extLst>
            <c:ext xmlns:c16="http://schemas.microsoft.com/office/drawing/2014/chart" uri="{C3380CC4-5D6E-409C-BE32-E72D297353CC}">
              <c16:uniqueId val="{00000000-DBD7-A94D-A9F7-D230AD8AC98E}"/>
            </c:ext>
          </c:extLst>
        </c:ser>
        <c:dLbls>
          <c:dLblPos val="inEnd"/>
          <c:showLegendKey val="0"/>
          <c:showVal val="1"/>
          <c:showCatName val="0"/>
          <c:showSerName val="0"/>
          <c:showPercent val="0"/>
          <c:showBubbleSize val="0"/>
        </c:dLbls>
        <c:gapWidth val="100"/>
        <c:overlap val="-24"/>
        <c:axId val="1714373008"/>
        <c:axId val="1714374720"/>
      </c:barChart>
      <c:catAx>
        <c:axId val="17143730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films per decades</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A"/>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A"/>
          </a:p>
        </c:txPr>
        <c:crossAx val="1714374720"/>
        <c:crosses val="autoZero"/>
        <c:auto val="1"/>
        <c:lblAlgn val="ctr"/>
        <c:lblOffset val="100"/>
        <c:noMultiLvlLbl val="0"/>
      </c:catAx>
      <c:valAx>
        <c:axId val="17143747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A"/>
          </a:p>
        </c:txPr>
        <c:crossAx val="17143730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A"/>
        </a:p>
      </c:txPr>
    </c:title>
    <c:autoTitleDeleted val="0"/>
    <c:plotArea>
      <c:layout>
        <c:manualLayout>
          <c:layoutTarget val="inner"/>
          <c:xMode val="edge"/>
          <c:yMode val="edge"/>
          <c:x val="8.3916666666666667E-2"/>
          <c:y val="0.16810185185185186"/>
          <c:w val="0.89663888888888887"/>
          <c:h val="0.62275481189851267"/>
        </c:manualLayout>
      </c:layout>
      <c:lineChart>
        <c:grouping val="standard"/>
        <c:varyColors val="0"/>
        <c:ser>
          <c:idx val="0"/>
          <c:order val="0"/>
          <c:tx>
            <c:strRef>
              <c:f>Analysis!$C$36</c:f>
              <c:strCache>
                <c:ptCount val="1"/>
                <c:pt idx="0">
                  <c:v>Average IMDB</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Analysis!$A$37:$A$47</c:f>
              <c:numCache>
                <c:formatCode>General</c:formatCode>
                <c:ptCount val="11"/>
                <c:pt idx="0">
                  <c:v>1920</c:v>
                </c:pt>
                <c:pt idx="1">
                  <c:v>1930</c:v>
                </c:pt>
                <c:pt idx="2">
                  <c:v>1940</c:v>
                </c:pt>
                <c:pt idx="3">
                  <c:v>1950</c:v>
                </c:pt>
                <c:pt idx="4">
                  <c:v>1960</c:v>
                </c:pt>
                <c:pt idx="5">
                  <c:v>1970</c:v>
                </c:pt>
                <c:pt idx="6">
                  <c:v>1980</c:v>
                </c:pt>
                <c:pt idx="7">
                  <c:v>1990</c:v>
                </c:pt>
                <c:pt idx="8">
                  <c:v>2000</c:v>
                </c:pt>
                <c:pt idx="9">
                  <c:v>2010</c:v>
                </c:pt>
                <c:pt idx="10">
                  <c:v>2020</c:v>
                </c:pt>
              </c:numCache>
            </c:numRef>
          </c:cat>
          <c:val>
            <c:numRef>
              <c:f>Analysis!$C$37:$C$47</c:f>
              <c:numCache>
                <c:formatCode>General</c:formatCode>
                <c:ptCount val="11"/>
                <c:pt idx="0">
                  <c:v>8.0500000000000007</c:v>
                </c:pt>
                <c:pt idx="1">
                  <c:v>8.08</c:v>
                </c:pt>
                <c:pt idx="2">
                  <c:v>7.97</c:v>
                </c:pt>
                <c:pt idx="3">
                  <c:v>8.16</c:v>
                </c:pt>
                <c:pt idx="4">
                  <c:v>7.95</c:v>
                </c:pt>
                <c:pt idx="5">
                  <c:v>7.94</c:v>
                </c:pt>
                <c:pt idx="6">
                  <c:v>8.09</c:v>
                </c:pt>
                <c:pt idx="7">
                  <c:v>8.19</c:v>
                </c:pt>
                <c:pt idx="8">
                  <c:v>8.01</c:v>
                </c:pt>
                <c:pt idx="9">
                  <c:v>7.88</c:v>
                </c:pt>
                <c:pt idx="10">
                  <c:v>7.77</c:v>
                </c:pt>
              </c:numCache>
            </c:numRef>
          </c:val>
          <c:smooth val="0"/>
          <c:extLst>
            <c:ext xmlns:c16="http://schemas.microsoft.com/office/drawing/2014/chart" uri="{C3380CC4-5D6E-409C-BE32-E72D297353CC}">
              <c16:uniqueId val="{00000000-3A1B-1642-8E46-4F9A521F2830}"/>
            </c:ext>
          </c:extLst>
        </c:ser>
        <c:dLbls>
          <c:showLegendKey val="0"/>
          <c:showVal val="0"/>
          <c:showCatName val="0"/>
          <c:showSerName val="0"/>
          <c:showPercent val="0"/>
          <c:showBubbleSize val="0"/>
        </c:dLbls>
        <c:smooth val="0"/>
        <c:axId val="1681663376"/>
        <c:axId val="1681870864"/>
      </c:lineChart>
      <c:catAx>
        <c:axId val="1681663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IMDB per decades</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A"/>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A"/>
          </a:p>
        </c:txPr>
        <c:crossAx val="1681870864"/>
        <c:crosses val="autoZero"/>
        <c:auto val="1"/>
        <c:lblAlgn val="ctr"/>
        <c:lblOffset val="100"/>
        <c:noMultiLvlLbl val="0"/>
      </c:catAx>
      <c:valAx>
        <c:axId val="1681870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A"/>
          </a:p>
        </c:txPr>
        <c:crossAx val="16816633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Critics vs Audience Rating</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A"/>
        </a:p>
      </c:txPr>
    </c:title>
    <c:autoTitleDeleted val="0"/>
    <c:plotArea>
      <c:layout/>
      <c:scatterChart>
        <c:scatterStyle val="lineMarker"/>
        <c:varyColors val="0"/>
        <c:ser>
          <c:idx val="0"/>
          <c:order val="0"/>
          <c:tx>
            <c:strRef>
              <c:f>' Clean_data'!$P$1</c:f>
              <c:strCache>
                <c:ptCount val="1"/>
                <c:pt idx="0">
                  <c:v>Audience_Rating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 Clean_data'!$N$2:$N$450</c:f>
              <c:numCache>
                <c:formatCode>0</c:formatCode>
                <c:ptCount val="449"/>
                <c:pt idx="0">
                  <c:v>96</c:v>
                </c:pt>
                <c:pt idx="1">
                  <c:v>97</c:v>
                </c:pt>
                <c:pt idx="2">
                  <c:v>93</c:v>
                </c:pt>
                <c:pt idx="3">
                  <c:v>93</c:v>
                </c:pt>
                <c:pt idx="4">
                  <c:v>95</c:v>
                </c:pt>
                <c:pt idx="5">
                  <c:v>95</c:v>
                </c:pt>
                <c:pt idx="6">
                  <c:v>94</c:v>
                </c:pt>
                <c:pt idx="7">
                  <c:v>94</c:v>
                </c:pt>
                <c:pt idx="8">
                  <c:v>89</c:v>
                </c:pt>
                <c:pt idx="9">
                  <c:v>95</c:v>
                </c:pt>
                <c:pt idx="10">
                  <c:v>95</c:v>
                </c:pt>
                <c:pt idx="11">
                  <c:v>91</c:v>
                </c:pt>
                <c:pt idx="12">
                  <c:v>89</c:v>
                </c:pt>
                <c:pt idx="13">
                  <c:v>93</c:v>
                </c:pt>
                <c:pt idx="14">
                  <c:v>96</c:v>
                </c:pt>
                <c:pt idx="15">
                  <c:v>92</c:v>
                </c:pt>
                <c:pt idx="16">
                  <c:v>95</c:v>
                </c:pt>
                <c:pt idx="17">
                  <c:v>93</c:v>
                </c:pt>
                <c:pt idx="18">
                  <c:v>94</c:v>
                </c:pt>
                <c:pt idx="19">
                  <c:v>92</c:v>
                </c:pt>
                <c:pt idx="20">
                  <c:v>93</c:v>
                </c:pt>
                <c:pt idx="21">
                  <c:v>94</c:v>
                </c:pt>
                <c:pt idx="22">
                  <c:v>96</c:v>
                </c:pt>
                <c:pt idx="23">
                  <c:v>95</c:v>
                </c:pt>
                <c:pt idx="24">
                  <c:v>91</c:v>
                </c:pt>
                <c:pt idx="25">
                  <c:v>91</c:v>
                </c:pt>
                <c:pt idx="26">
                  <c:v>91</c:v>
                </c:pt>
                <c:pt idx="27">
                  <c:v>89</c:v>
                </c:pt>
                <c:pt idx="28">
                  <c:v>98</c:v>
                </c:pt>
                <c:pt idx="29">
                  <c:v>93</c:v>
                </c:pt>
                <c:pt idx="30">
                  <c:v>90</c:v>
                </c:pt>
                <c:pt idx="31">
                  <c:v>95</c:v>
                </c:pt>
                <c:pt idx="32">
                  <c:v>85</c:v>
                </c:pt>
                <c:pt idx="33">
                  <c:v>94</c:v>
                </c:pt>
                <c:pt idx="34">
                  <c:v>90</c:v>
                </c:pt>
                <c:pt idx="35">
                  <c:v>89</c:v>
                </c:pt>
                <c:pt idx="36">
                  <c:v>88</c:v>
                </c:pt>
                <c:pt idx="37">
                  <c:v>87</c:v>
                </c:pt>
                <c:pt idx="38">
                  <c:v>92</c:v>
                </c:pt>
                <c:pt idx="39">
                  <c:v>93</c:v>
                </c:pt>
                <c:pt idx="40">
                  <c:v>92</c:v>
                </c:pt>
                <c:pt idx="41">
                  <c:v>89</c:v>
                </c:pt>
                <c:pt idx="42">
                  <c:v>95</c:v>
                </c:pt>
                <c:pt idx="43">
                  <c:v>89</c:v>
                </c:pt>
                <c:pt idx="44">
                  <c:v>91</c:v>
                </c:pt>
                <c:pt idx="45">
                  <c:v>87</c:v>
                </c:pt>
                <c:pt idx="46">
                  <c:v>88</c:v>
                </c:pt>
                <c:pt idx="47">
                  <c:v>91</c:v>
                </c:pt>
                <c:pt idx="48">
                  <c:v>95</c:v>
                </c:pt>
                <c:pt idx="49">
                  <c:v>88</c:v>
                </c:pt>
                <c:pt idx="50">
                  <c:v>89</c:v>
                </c:pt>
                <c:pt idx="51">
                  <c:v>92</c:v>
                </c:pt>
                <c:pt idx="52">
                  <c:v>92</c:v>
                </c:pt>
                <c:pt idx="53">
                  <c:v>83</c:v>
                </c:pt>
                <c:pt idx="54">
                  <c:v>92</c:v>
                </c:pt>
                <c:pt idx="55">
                  <c:v>91</c:v>
                </c:pt>
                <c:pt idx="56">
                  <c:v>85</c:v>
                </c:pt>
                <c:pt idx="57">
                  <c:v>91</c:v>
                </c:pt>
                <c:pt idx="58">
                  <c:v>90</c:v>
                </c:pt>
                <c:pt idx="59">
                  <c:v>87</c:v>
                </c:pt>
                <c:pt idx="60">
                  <c:v>91</c:v>
                </c:pt>
                <c:pt idx="61">
                  <c:v>86</c:v>
                </c:pt>
                <c:pt idx="62">
                  <c:v>92</c:v>
                </c:pt>
                <c:pt idx="63">
                  <c:v>89</c:v>
                </c:pt>
                <c:pt idx="64">
                  <c:v>86</c:v>
                </c:pt>
                <c:pt idx="65">
                  <c:v>93</c:v>
                </c:pt>
                <c:pt idx="66">
                  <c:v>88</c:v>
                </c:pt>
                <c:pt idx="67">
                  <c:v>92</c:v>
                </c:pt>
                <c:pt idx="68">
                  <c:v>84</c:v>
                </c:pt>
                <c:pt idx="69">
                  <c:v>94</c:v>
                </c:pt>
                <c:pt idx="70">
                  <c:v>90</c:v>
                </c:pt>
                <c:pt idx="71">
                  <c:v>87</c:v>
                </c:pt>
                <c:pt idx="72">
                  <c:v>86</c:v>
                </c:pt>
                <c:pt idx="73">
                  <c:v>90</c:v>
                </c:pt>
                <c:pt idx="74">
                  <c:v>86</c:v>
                </c:pt>
                <c:pt idx="75">
                  <c:v>91</c:v>
                </c:pt>
                <c:pt idx="76">
                  <c:v>81</c:v>
                </c:pt>
                <c:pt idx="77">
                  <c:v>82</c:v>
                </c:pt>
                <c:pt idx="78">
                  <c:v>87</c:v>
                </c:pt>
                <c:pt idx="79">
                  <c:v>93</c:v>
                </c:pt>
                <c:pt idx="80">
                  <c:v>84</c:v>
                </c:pt>
                <c:pt idx="81">
                  <c:v>90</c:v>
                </c:pt>
                <c:pt idx="82">
                  <c:v>89</c:v>
                </c:pt>
                <c:pt idx="83">
                  <c:v>88</c:v>
                </c:pt>
                <c:pt idx="84">
                  <c:v>87</c:v>
                </c:pt>
                <c:pt idx="85">
                  <c:v>86</c:v>
                </c:pt>
                <c:pt idx="86">
                  <c:v>84</c:v>
                </c:pt>
                <c:pt idx="87">
                  <c:v>90</c:v>
                </c:pt>
                <c:pt idx="88">
                  <c:v>91</c:v>
                </c:pt>
                <c:pt idx="89">
                  <c:v>82</c:v>
                </c:pt>
                <c:pt idx="90">
                  <c:v>90</c:v>
                </c:pt>
                <c:pt idx="91">
                  <c:v>86</c:v>
                </c:pt>
                <c:pt idx="92">
                  <c:v>88</c:v>
                </c:pt>
                <c:pt idx="93">
                  <c:v>89</c:v>
                </c:pt>
                <c:pt idx="94">
                  <c:v>89</c:v>
                </c:pt>
                <c:pt idx="95">
                  <c:v>88</c:v>
                </c:pt>
                <c:pt idx="96">
                  <c:v>92</c:v>
                </c:pt>
                <c:pt idx="97">
                  <c:v>89</c:v>
                </c:pt>
                <c:pt idx="98">
                  <c:v>93</c:v>
                </c:pt>
                <c:pt idx="99">
                  <c:v>88</c:v>
                </c:pt>
                <c:pt idx="100">
                  <c:v>87</c:v>
                </c:pt>
                <c:pt idx="101">
                  <c:v>89</c:v>
                </c:pt>
                <c:pt idx="102">
                  <c:v>79</c:v>
                </c:pt>
                <c:pt idx="103">
                  <c:v>82</c:v>
                </c:pt>
                <c:pt idx="104">
                  <c:v>82</c:v>
                </c:pt>
                <c:pt idx="105">
                  <c:v>94</c:v>
                </c:pt>
                <c:pt idx="106">
                  <c:v>89</c:v>
                </c:pt>
                <c:pt idx="107">
                  <c:v>92</c:v>
                </c:pt>
                <c:pt idx="108">
                  <c:v>91</c:v>
                </c:pt>
                <c:pt idx="109">
                  <c:v>89</c:v>
                </c:pt>
                <c:pt idx="110">
                  <c:v>93</c:v>
                </c:pt>
                <c:pt idx="111">
                  <c:v>87</c:v>
                </c:pt>
                <c:pt idx="112">
                  <c:v>83</c:v>
                </c:pt>
                <c:pt idx="113">
                  <c:v>87</c:v>
                </c:pt>
                <c:pt idx="114">
                  <c:v>86</c:v>
                </c:pt>
                <c:pt idx="115">
                  <c:v>84</c:v>
                </c:pt>
                <c:pt idx="116">
                  <c:v>90</c:v>
                </c:pt>
                <c:pt idx="117">
                  <c:v>90</c:v>
                </c:pt>
                <c:pt idx="118">
                  <c:v>82</c:v>
                </c:pt>
                <c:pt idx="119">
                  <c:v>83</c:v>
                </c:pt>
                <c:pt idx="120">
                  <c:v>90</c:v>
                </c:pt>
                <c:pt idx="121">
                  <c:v>91</c:v>
                </c:pt>
                <c:pt idx="122">
                  <c:v>87</c:v>
                </c:pt>
                <c:pt idx="123">
                  <c:v>87</c:v>
                </c:pt>
                <c:pt idx="124">
                  <c:v>89</c:v>
                </c:pt>
                <c:pt idx="125">
                  <c:v>89</c:v>
                </c:pt>
                <c:pt idx="126">
                  <c:v>90</c:v>
                </c:pt>
                <c:pt idx="127">
                  <c:v>83</c:v>
                </c:pt>
                <c:pt idx="128">
                  <c:v>85</c:v>
                </c:pt>
                <c:pt idx="129">
                  <c:v>86</c:v>
                </c:pt>
                <c:pt idx="130">
                  <c:v>84</c:v>
                </c:pt>
                <c:pt idx="131">
                  <c:v>87</c:v>
                </c:pt>
                <c:pt idx="132">
                  <c:v>90</c:v>
                </c:pt>
                <c:pt idx="133">
                  <c:v>87</c:v>
                </c:pt>
                <c:pt idx="134">
                  <c:v>90</c:v>
                </c:pt>
                <c:pt idx="135">
                  <c:v>87</c:v>
                </c:pt>
                <c:pt idx="136">
                  <c:v>87</c:v>
                </c:pt>
                <c:pt idx="137">
                  <c:v>90</c:v>
                </c:pt>
                <c:pt idx="138">
                  <c:v>87</c:v>
                </c:pt>
                <c:pt idx="139">
                  <c:v>86</c:v>
                </c:pt>
                <c:pt idx="140">
                  <c:v>88</c:v>
                </c:pt>
                <c:pt idx="141">
                  <c:v>88</c:v>
                </c:pt>
                <c:pt idx="142">
                  <c:v>80</c:v>
                </c:pt>
                <c:pt idx="143">
                  <c:v>80</c:v>
                </c:pt>
                <c:pt idx="144">
                  <c:v>88</c:v>
                </c:pt>
                <c:pt idx="145">
                  <c:v>90</c:v>
                </c:pt>
                <c:pt idx="146">
                  <c:v>77</c:v>
                </c:pt>
                <c:pt idx="147">
                  <c:v>83</c:v>
                </c:pt>
                <c:pt idx="148">
                  <c:v>92</c:v>
                </c:pt>
                <c:pt idx="149">
                  <c:v>91</c:v>
                </c:pt>
                <c:pt idx="150">
                  <c:v>85</c:v>
                </c:pt>
                <c:pt idx="151">
                  <c:v>86</c:v>
                </c:pt>
                <c:pt idx="152">
                  <c:v>90</c:v>
                </c:pt>
                <c:pt idx="153">
                  <c:v>85</c:v>
                </c:pt>
                <c:pt idx="154">
                  <c:v>93</c:v>
                </c:pt>
                <c:pt idx="155">
                  <c:v>86</c:v>
                </c:pt>
                <c:pt idx="156">
                  <c:v>87</c:v>
                </c:pt>
                <c:pt idx="157">
                  <c:v>81</c:v>
                </c:pt>
                <c:pt idx="158">
                  <c:v>85</c:v>
                </c:pt>
                <c:pt idx="159">
                  <c:v>83</c:v>
                </c:pt>
                <c:pt idx="160">
                  <c:v>89</c:v>
                </c:pt>
                <c:pt idx="161">
                  <c:v>83</c:v>
                </c:pt>
                <c:pt idx="162">
                  <c:v>90</c:v>
                </c:pt>
                <c:pt idx="163">
                  <c:v>85</c:v>
                </c:pt>
                <c:pt idx="164">
                  <c:v>88</c:v>
                </c:pt>
                <c:pt idx="165">
                  <c:v>90</c:v>
                </c:pt>
                <c:pt idx="166">
                  <c:v>82</c:v>
                </c:pt>
                <c:pt idx="167">
                  <c:v>89</c:v>
                </c:pt>
                <c:pt idx="168">
                  <c:v>89</c:v>
                </c:pt>
                <c:pt idx="169">
                  <c:v>88</c:v>
                </c:pt>
                <c:pt idx="170">
                  <c:v>87</c:v>
                </c:pt>
                <c:pt idx="171">
                  <c:v>90</c:v>
                </c:pt>
                <c:pt idx="172">
                  <c:v>91</c:v>
                </c:pt>
                <c:pt idx="173">
                  <c:v>87</c:v>
                </c:pt>
                <c:pt idx="174">
                  <c:v>85</c:v>
                </c:pt>
                <c:pt idx="175">
                  <c:v>81</c:v>
                </c:pt>
                <c:pt idx="176">
                  <c:v>83</c:v>
                </c:pt>
                <c:pt idx="177">
                  <c:v>80</c:v>
                </c:pt>
                <c:pt idx="178">
                  <c:v>84</c:v>
                </c:pt>
                <c:pt idx="179">
                  <c:v>88</c:v>
                </c:pt>
                <c:pt idx="180">
                  <c:v>89</c:v>
                </c:pt>
                <c:pt idx="181">
                  <c:v>91</c:v>
                </c:pt>
                <c:pt idx="182">
                  <c:v>87</c:v>
                </c:pt>
                <c:pt idx="183">
                  <c:v>92</c:v>
                </c:pt>
                <c:pt idx="184">
                  <c:v>83</c:v>
                </c:pt>
                <c:pt idx="185">
                  <c:v>84</c:v>
                </c:pt>
                <c:pt idx="186">
                  <c:v>83</c:v>
                </c:pt>
                <c:pt idx="187">
                  <c:v>85</c:v>
                </c:pt>
                <c:pt idx="188">
                  <c:v>95</c:v>
                </c:pt>
                <c:pt idx="189">
                  <c:v>92</c:v>
                </c:pt>
                <c:pt idx="190">
                  <c:v>85</c:v>
                </c:pt>
                <c:pt idx="191">
                  <c:v>88</c:v>
                </c:pt>
                <c:pt idx="192">
                  <c:v>92</c:v>
                </c:pt>
                <c:pt idx="193">
                  <c:v>83</c:v>
                </c:pt>
                <c:pt idx="194">
                  <c:v>85</c:v>
                </c:pt>
                <c:pt idx="195">
                  <c:v>75</c:v>
                </c:pt>
                <c:pt idx="196">
                  <c:v>84</c:v>
                </c:pt>
                <c:pt idx="197">
                  <c:v>85</c:v>
                </c:pt>
                <c:pt idx="198">
                  <c:v>84</c:v>
                </c:pt>
                <c:pt idx="199">
                  <c:v>87</c:v>
                </c:pt>
                <c:pt idx="200">
                  <c:v>89</c:v>
                </c:pt>
                <c:pt idx="201">
                  <c:v>84</c:v>
                </c:pt>
                <c:pt idx="202">
                  <c:v>92</c:v>
                </c:pt>
                <c:pt idx="203">
                  <c:v>88</c:v>
                </c:pt>
                <c:pt idx="204">
                  <c:v>87</c:v>
                </c:pt>
                <c:pt idx="205">
                  <c:v>78</c:v>
                </c:pt>
                <c:pt idx="206">
                  <c:v>83</c:v>
                </c:pt>
                <c:pt idx="207">
                  <c:v>85</c:v>
                </c:pt>
                <c:pt idx="208">
                  <c:v>79</c:v>
                </c:pt>
                <c:pt idx="209">
                  <c:v>85</c:v>
                </c:pt>
                <c:pt idx="210">
                  <c:v>87</c:v>
                </c:pt>
                <c:pt idx="211">
                  <c:v>85</c:v>
                </c:pt>
                <c:pt idx="212">
                  <c:v>88</c:v>
                </c:pt>
                <c:pt idx="213">
                  <c:v>82</c:v>
                </c:pt>
                <c:pt idx="214">
                  <c:v>79</c:v>
                </c:pt>
                <c:pt idx="215">
                  <c:v>80</c:v>
                </c:pt>
                <c:pt idx="216">
                  <c:v>85</c:v>
                </c:pt>
                <c:pt idx="217">
                  <c:v>91</c:v>
                </c:pt>
                <c:pt idx="218">
                  <c:v>87</c:v>
                </c:pt>
                <c:pt idx="219">
                  <c:v>85</c:v>
                </c:pt>
                <c:pt idx="220">
                  <c:v>86</c:v>
                </c:pt>
                <c:pt idx="221">
                  <c:v>84</c:v>
                </c:pt>
                <c:pt idx="222">
                  <c:v>82</c:v>
                </c:pt>
                <c:pt idx="223">
                  <c:v>88</c:v>
                </c:pt>
                <c:pt idx="224">
                  <c:v>74</c:v>
                </c:pt>
                <c:pt idx="225">
                  <c:v>84</c:v>
                </c:pt>
                <c:pt idx="226">
                  <c:v>81</c:v>
                </c:pt>
                <c:pt idx="227">
                  <c:v>83</c:v>
                </c:pt>
                <c:pt idx="228">
                  <c:v>88</c:v>
                </c:pt>
                <c:pt idx="229">
                  <c:v>82</c:v>
                </c:pt>
                <c:pt idx="230">
                  <c:v>83</c:v>
                </c:pt>
                <c:pt idx="231">
                  <c:v>90</c:v>
                </c:pt>
                <c:pt idx="232">
                  <c:v>78</c:v>
                </c:pt>
                <c:pt idx="233">
                  <c:v>76</c:v>
                </c:pt>
                <c:pt idx="234">
                  <c:v>89</c:v>
                </c:pt>
                <c:pt idx="235">
                  <c:v>79</c:v>
                </c:pt>
                <c:pt idx="236">
                  <c:v>87</c:v>
                </c:pt>
                <c:pt idx="237">
                  <c:v>86</c:v>
                </c:pt>
                <c:pt idx="238">
                  <c:v>81</c:v>
                </c:pt>
                <c:pt idx="239">
                  <c:v>82</c:v>
                </c:pt>
                <c:pt idx="240">
                  <c:v>85</c:v>
                </c:pt>
                <c:pt idx="241">
                  <c:v>86</c:v>
                </c:pt>
                <c:pt idx="242">
                  <c:v>79</c:v>
                </c:pt>
                <c:pt idx="243">
                  <c:v>87</c:v>
                </c:pt>
                <c:pt idx="244">
                  <c:v>90</c:v>
                </c:pt>
                <c:pt idx="245">
                  <c:v>89</c:v>
                </c:pt>
                <c:pt idx="246">
                  <c:v>89</c:v>
                </c:pt>
                <c:pt idx="247">
                  <c:v>85</c:v>
                </c:pt>
                <c:pt idx="248">
                  <c:v>83</c:v>
                </c:pt>
                <c:pt idx="249">
                  <c:v>83</c:v>
                </c:pt>
                <c:pt idx="250">
                  <c:v>85</c:v>
                </c:pt>
                <c:pt idx="251">
                  <c:v>80</c:v>
                </c:pt>
                <c:pt idx="252">
                  <c:v>89</c:v>
                </c:pt>
                <c:pt idx="253">
                  <c:v>78</c:v>
                </c:pt>
                <c:pt idx="254">
                  <c:v>78</c:v>
                </c:pt>
                <c:pt idx="255">
                  <c:v>90</c:v>
                </c:pt>
                <c:pt idx="256">
                  <c:v>77</c:v>
                </c:pt>
                <c:pt idx="257">
                  <c:v>80</c:v>
                </c:pt>
                <c:pt idx="258">
                  <c:v>86</c:v>
                </c:pt>
                <c:pt idx="259">
                  <c:v>89</c:v>
                </c:pt>
                <c:pt idx="260">
                  <c:v>79</c:v>
                </c:pt>
                <c:pt idx="261">
                  <c:v>88</c:v>
                </c:pt>
                <c:pt idx="262">
                  <c:v>76</c:v>
                </c:pt>
                <c:pt idx="263">
                  <c:v>90</c:v>
                </c:pt>
                <c:pt idx="264">
                  <c:v>82</c:v>
                </c:pt>
                <c:pt idx="265">
                  <c:v>72</c:v>
                </c:pt>
                <c:pt idx="266">
                  <c:v>81</c:v>
                </c:pt>
                <c:pt idx="267">
                  <c:v>83</c:v>
                </c:pt>
                <c:pt idx="268">
                  <c:v>82</c:v>
                </c:pt>
                <c:pt idx="269">
                  <c:v>84</c:v>
                </c:pt>
                <c:pt idx="270">
                  <c:v>83</c:v>
                </c:pt>
                <c:pt idx="271">
                  <c:v>72</c:v>
                </c:pt>
                <c:pt idx="272">
                  <c:v>83</c:v>
                </c:pt>
                <c:pt idx="273">
                  <c:v>80</c:v>
                </c:pt>
                <c:pt idx="274">
                  <c:v>83</c:v>
                </c:pt>
                <c:pt idx="275">
                  <c:v>80</c:v>
                </c:pt>
                <c:pt idx="276">
                  <c:v>88</c:v>
                </c:pt>
                <c:pt idx="277">
                  <c:v>84</c:v>
                </c:pt>
                <c:pt idx="278">
                  <c:v>87</c:v>
                </c:pt>
                <c:pt idx="279">
                  <c:v>86</c:v>
                </c:pt>
                <c:pt idx="280">
                  <c:v>83</c:v>
                </c:pt>
                <c:pt idx="281">
                  <c:v>85</c:v>
                </c:pt>
                <c:pt idx="282">
                  <c:v>83</c:v>
                </c:pt>
                <c:pt idx="283">
                  <c:v>82</c:v>
                </c:pt>
                <c:pt idx="284">
                  <c:v>82</c:v>
                </c:pt>
                <c:pt idx="285">
                  <c:v>81</c:v>
                </c:pt>
                <c:pt idx="286">
                  <c:v>85</c:v>
                </c:pt>
                <c:pt idx="287">
                  <c:v>80</c:v>
                </c:pt>
                <c:pt idx="288">
                  <c:v>83</c:v>
                </c:pt>
                <c:pt idx="289">
                  <c:v>80</c:v>
                </c:pt>
                <c:pt idx="290">
                  <c:v>89</c:v>
                </c:pt>
                <c:pt idx="291">
                  <c:v>81</c:v>
                </c:pt>
                <c:pt idx="292">
                  <c:v>84</c:v>
                </c:pt>
                <c:pt idx="293">
                  <c:v>79</c:v>
                </c:pt>
                <c:pt idx="294">
                  <c:v>86</c:v>
                </c:pt>
                <c:pt idx="295">
                  <c:v>83</c:v>
                </c:pt>
                <c:pt idx="296">
                  <c:v>88</c:v>
                </c:pt>
                <c:pt idx="297">
                  <c:v>80</c:v>
                </c:pt>
                <c:pt idx="298">
                  <c:v>81</c:v>
                </c:pt>
                <c:pt idx="299">
                  <c:v>84</c:v>
                </c:pt>
                <c:pt idx="300">
                  <c:v>91</c:v>
                </c:pt>
                <c:pt idx="301">
                  <c:v>84</c:v>
                </c:pt>
                <c:pt idx="302">
                  <c:v>88</c:v>
                </c:pt>
                <c:pt idx="303">
                  <c:v>88</c:v>
                </c:pt>
                <c:pt idx="304">
                  <c:v>80</c:v>
                </c:pt>
                <c:pt idx="305">
                  <c:v>85</c:v>
                </c:pt>
                <c:pt idx="306">
                  <c:v>80</c:v>
                </c:pt>
                <c:pt idx="307">
                  <c:v>84</c:v>
                </c:pt>
                <c:pt idx="308">
                  <c:v>88</c:v>
                </c:pt>
                <c:pt idx="309">
                  <c:v>81</c:v>
                </c:pt>
                <c:pt idx="310">
                  <c:v>83</c:v>
                </c:pt>
                <c:pt idx="311">
                  <c:v>82</c:v>
                </c:pt>
                <c:pt idx="312">
                  <c:v>82</c:v>
                </c:pt>
                <c:pt idx="313">
                  <c:v>83</c:v>
                </c:pt>
                <c:pt idx="314">
                  <c:v>87</c:v>
                </c:pt>
                <c:pt idx="315">
                  <c:v>83</c:v>
                </c:pt>
                <c:pt idx="316">
                  <c:v>87</c:v>
                </c:pt>
                <c:pt idx="317">
                  <c:v>79</c:v>
                </c:pt>
                <c:pt idx="318">
                  <c:v>85</c:v>
                </c:pt>
                <c:pt idx="319">
                  <c:v>79</c:v>
                </c:pt>
                <c:pt idx="320">
                  <c:v>86</c:v>
                </c:pt>
                <c:pt idx="321">
                  <c:v>90</c:v>
                </c:pt>
                <c:pt idx="322">
                  <c:v>74</c:v>
                </c:pt>
                <c:pt idx="323">
                  <c:v>81</c:v>
                </c:pt>
                <c:pt idx="324">
                  <c:v>79</c:v>
                </c:pt>
                <c:pt idx="325">
                  <c:v>84</c:v>
                </c:pt>
                <c:pt idx="326">
                  <c:v>79</c:v>
                </c:pt>
                <c:pt idx="327">
                  <c:v>85</c:v>
                </c:pt>
                <c:pt idx="328">
                  <c:v>89</c:v>
                </c:pt>
                <c:pt idx="329">
                  <c:v>79</c:v>
                </c:pt>
                <c:pt idx="330">
                  <c:v>92</c:v>
                </c:pt>
                <c:pt idx="331">
                  <c:v>83</c:v>
                </c:pt>
                <c:pt idx="332">
                  <c:v>76</c:v>
                </c:pt>
                <c:pt idx="333">
                  <c:v>86</c:v>
                </c:pt>
                <c:pt idx="334">
                  <c:v>84</c:v>
                </c:pt>
                <c:pt idx="335">
                  <c:v>79</c:v>
                </c:pt>
                <c:pt idx="336">
                  <c:v>82</c:v>
                </c:pt>
                <c:pt idx="337">
                  <c:v>78</c:v>
                </c:pt>
                <c:pt idx="338">
                  <c:v>84</c:v>
                </c:pt>
                <c:pt idx="339">
                  <c:v>85</c:v>
                </c:pt>
                <c:pt idx="340">
                  <c:v>79</c:v>
                </c:pt>
                <c:pt idx="341">
                  <c:v>92</c:v>
                </c:pt>
                <c:pt idx="342">
                  <c:v>85</c:v>
                </c:pt>
                <c:pt idx="343">
                  <c:v>79</c:v>
                </c:pt>
                <c:pt idx="344">
                  <c:v>82</c:v>
                </c:pt>
                <c:pt idx="345">
                  <c:v>85</c:v>
                </c:pt>
                <c:pt idx="346">
                  <c:v>86</c:v>
                </c:pt>
                <c:pt idx="347">
                  <c:v>85</c:v>
                </c:pt>
                <c:pt idx="348">
                  <c:v>88</c:v>
                </c:pt>
                <c:pt idx="349">
                  <c:v>81</c:v>
                </c:pt>
                <c:pt idx="350">
                  <c:v>85</c:v>
                </c:pt>
                <c:pt idx="351">
                  <c:v>88</c:v>
                </c:pt>
                <c:pt idx="352">
                  <c:v>80</c:v>
                </c:pt>
                <c:pt idx="353">
                  <c:v>80</c:v>
                </c:pt>
                <c:pt idx="354">
                  <c:v>87</c:v>
                </c:pt>
                <c:pt idx="355">
                  <c:v>82</c:v>
                </c:pt>
                <c:pt idx="356">
                  <c:v>78</c:v>
                </c:pt>
                <c:pt idx="357">
                  <c:v>79</c:v>
                </c:pt>
                <c:pt idx="358">
                  <c:v>72</c:v>
                </c:pt>
                <c:pt idx="359">
                  <c:v>88</c:v>
                </c:pt>
                <c:pt idx="360">
                  <c:v>81</c:v>
                </c:pt>
                <c:pt idx="361">
                  <c:v>89</c:v>
                </c:pt>
                <c:pt idx="362">
                  <c:v>81</c:v>
                </c:pt>
                <c:pt idx="363">
                  <c:v>93</c:v>
                </c:pt>
                <c:pt idx="364">
                  <c:v>92</c:v>
                </c:pt>
                <c:pt idx="365">
                  <c:v>78</c:v>
                </c:pt>
                <c:pt idx="366">
                  <c:v>77</c:v>
                </c:pt>
                <c:pt idx="367">
                  <c:v>78</c:v>
                </c:pt>
                <c:pt idx="368">
                  <c:v>78</c:v>
                </c:pt>
                <c:pt idx="369">
                  <c:v>84</c:v>
                </c:pt>
                <c:pt idx="370">
                  <c:v>83</c:v>
                </c:pt>
                <c:pt idx="371">
                  <c:v>82</c:v>
                </c:pt>
                <c:pt idx="372">
                  <c:v>87</c:v>
                </c:pt>
                <c:pt idx="373">
                  <c:v>83</c:v>
                </c:pt>
                <c:pt idx="374">
                  <c:v>85</c:v>
                </c:pt>
                <c:pt idx="375">
                  <c:v>83</c:v>
                </c:pt>
                <c:pt idx="376">
                  <c:v>77</c:v>
                </c:pt>
                <c:pt idx="377">
                  <c:v>81</c:v>
                </c:pt>
                <c:pt idx="378">
                  <c:v>83</c:v>
                </c:pt>
                <c:pt idx="379">
                  <c:v>81</c:v>
                </c:pt>
                <c:pt idx="380">
                  <c:v>84</c:v>
                </c:pt>
                <c:pt idx="381">
                  <c:v>87</c:v>
                </c:pt>
                <c:pt idx="382">
                  <c:v>81</c:v>
                </c:pt>
                <c:pt idx="383">
                  <c:v>85</c:v>
                </c:pt>
                <c:pt idx="384">
                  <c:v>77</c:v>
                </c:pt>
                <c:pt idx="385">
                  <c:v>89</c:v>
                </c:pt>
                <c:pt idx="386">
                  <c:v>77</c:v>
                </c:pt>
                <c:pt idx="387">
                  <c:v>89</c:v>
                </c:pt>
                <c:pt idx="388">
                  <c:v>84</c:v>
                </c:pt>
                <c:pt idx="389">
                  <c:v>82</c:v>
                </c:pt>
                <c:pt idx="390">
                  <c:v>84</c:v>
                </c:pt>
                <c:pt idx="391">
                  <c:v>81</c:v>
                </c:pt>
                <c:pt idx="392">
                  <c:v>83</c:v>
                </c:pt>
                <c:pt idx="393">
                  <c:v>81</c:v>
                </c:pt>
                <c:pt idx="394">
                  <c:v>84</c:v>
                </c:pt>
                <c:pt idx="395">
                  <c:v>82</c:v>
                </c:pt>
                <c:pt idx="396">
                  <c:v>79</c:v>
                </c:pt>
                <c:pt idx="397">
                  <c:v>89</c:v>
                </c:pt>
                <c:pt idx="398">
                  <c:v>82</c:v>
                </c:pt>
                <c:pt idx="399">
                  <c:v>78</c:v>
                </c:pt>
                <c:pt idx="400">
                  <c:v>87</c:v>
                </c:pt>
                <c:pt idx="401">
                  <c:v>82</c:v>
                </c:pt>
                <c:pt idx="402">
                  <c:v>77</c:v>
                </c:pt>
                <c:pt idx="403">
                  <c:v>82</c:v>
                </c:pt>
                <c:pt idx="404">
                  <c:v>85</c:v>
                </c:pt>
                <c:pt idx="405">
                  <c:v>78</c:v>
                </c:pt>
                <c:pt idx="406">
                  <c:v>85</c:v>
                </c:pt>
                <c:pt idx="407">
                  <c:v>80</c:v>
                </c:pt>
                <c:pt idx="408">
                  <c:v>83</c:v>
                </c:pt>
                <c:pt idx="409">
                  <c:v>81</c:v>
                </c:pt>
                <c:pt idx="410">
                  <c:v>85</c:v>
                </c:pt>
                <c:pt idx="411">
                  <c:v>82</c:v>
                </c:pt>
                <c:pt idx="412">
                  <c:v>77</c:v>
                </c:pt>
                <c:pt idx="413">
                  <c:v>85</c:v>
                </c:pt>
                <c:pt idx="414">
                  <c:v>91</c:v>
                </c:pt>
                <c:pt idx="415">
                  <c:v>82</c:v>
                </c:pt>
                <c:pt idx="416">
                  <c:v>85</c:v>
                </c:pt>
                <c:pt idx="417">
                  <c:v>83</c:v>
                </c:pt>
                <c:pt idx="418">
                  <c:v>77</c:v>
                </c:pt>
                <c:pt idx="419">
                  <c:v>83</c:v>
                </c:pt>
                <c:pt idx="420">
                  <c:v>84</c:v>
                </c:pt>
                <c:pt idx="421">
                  <c:v>81</c:v>
                </c:pt>
                <c:pt idx="422">
                  <c:v>81</c:v>
                </c:pt>
                <c:pt idx="423">
                  <c:v>84</c:v>
                </c:pt>
                <c:pt idx="424">
                  <c:v>82</c:v>
                </c:pt>
                <c:pt idx="425">
                  <c:v>84</c:v>
                </c:pt>
                <c:pt idx="426">
                  <c:v>83</c:v>
                </c:pt>
                <c:pt idx="427">
                  <c:v>83</c:v>
                </c:pt>
                <c:pt idx="428">
                  <c:v>82</c:v>
                </c:pt>
                <c:pt idx="429">
                  <c:v>79</c:v>
                </c:pt>
                <c:pt idx="430">
                  <c:v>88</c:v>
                </c:pt>
                <c:pt idx="431">
                  <c:v>83</c:v>
                </c:pt>
                <c:pt idx="432">
                  <c:v>83</c:v>
                </c:pt>
                <c:pt idx="433">
                  <c:v>79</c:v>
                </c:pt>
                <c:pt idx="434">
                  <c:v>81</c:v>
                </c:pt>
                <c:pt idx="435">
                  <c:v>83</c:v>
                </c:pt>
                <c:pt idx="436">
                  <c:v>86</c:v>
                </c:pt>
                <c:pt idx="437">
                  <c:v>86</c:v>
                </c:pt>
                <c:pt idx="438">
                  <c:v>79</c:v>
                </c:pt>
                <c:pt idx="439">
                  <c:v>82</c:v>
                </c:pt>
                <c:pt idx="440">
                  <c:v>90</c:v>
                </c:pt>
                <c:pt idx="441">
                  <c:v>94</c:v>
                </c:pt>
                <c:pt idx="442">
                  <c:v>75</c:v>
                </c:pt>
                <c:pt idx="443">
                  <c:v>84</c:v>
                </c:pt>
                <c:pt idx="444">
                  <c:v>81</c:v>
                </c:pt>
                <c:pt idx="445">
                  <c:v>86</c:v>
                </c:pt>
                <c:pt idx="446">
                  <c:v>86</c:v>
                </c:pt>
                <c:pt idx="447">
                  <c:v>80</c:v>
                </c:pt>
                <c:pt idx="448">
                  <c:v>86</c:v>
                </c:pt>
              </c:numCache>
            </c:numRef>
          </c:xVal>
          <c:yVal>
            <c:numRef>
              <c:f>' Clean_data'!$P$2:$P$450</c:f>
              <c:numCache>
                <c:formatCode>0</c:formatCode>
                <c:ptCount val="449"/>
                <c:pt idx="0">
                  <c:v>95</c:v>
                </c:pt>
                <c:pt idx="1">
                  <c:v>94</c:v>
                </c:pt>
                <c:pt idx="2">
                  <c:v>94</c:v>
                </c:pt>
                <c:pt idx="3">
                  <c:v>94</c:v>
                </c:pt>
                <c:pt idx="4">
                  <c:v>94</c:v>
                </c:pt>
                <c:pt idx="5">
                  <c:v>92</c:v>
                </c:pt>
                <c:pt idx="6">
                  <c:v>93</c:v>
                </c:pt>
                <c:pt idx="7">
                  <c:v>92</c:v>
                </c:pt>
                <c:pt idx="8">
                  <c:v>93</c:v>
                </c:pt>
                <c:pt idx="9">
                  <c:v>88</c:v>
                </c:pt>
                <c:pt idx="10">
                  <c:v>92</c:v>
                </c:pt>
                <c:pt idx="11">
                  <c:v>94</c:v>
                </c:pt>
                <c:pt idx="12">
                  <c:v>94</c:v>
                </c:pt>
                <c:pt idx="13">
                  <c:v>90</c:v>
                </c:pt>
                <c:pt idx="14">
                  <c:v>91</c:v>
                </c:pt>
                <c:pt idx="15">
                  <c:v>91</c:v>
                </c:pt>
                <c:pt idx="16">
                  <c:v>91</c:v>
                </c:pt>
                <c:pt idx="17">
                  <c:v>90</c:v>
                </c:pt>
                <c:pt idx="18">
                  <c:v>92</c:v>
                </c:pt>
                <c:pt idx="19">
                  <c:v>91</c:v>
                </c:pt>
                <c:pt idx="20">
                  <c:v>91</c:v>
                </c:pt>
                <c:pt idx="21">
                  <c:v>90</c:v>
                </c:pt>
                <c:pt idx="22">
                  <c:v>89</c:v>
                </c:pt>
                <c:pt idx="23">
                  <c:v>90</c:v>
                </c:pt>
                <c:pt idx="24">
                  <c:v>89</c:v>
                </c:pt>
                <c:pt idx="25">
                  <c:v>88</c:v>
                </c:pt>
                <c:pt idx="27">
                  <c:v>85</c:v>
                </c:pt>
                <c:pt idx="28">
                  <c:v>87</c:v>
                </c:pt>
                <c:pt idx="29">
                  <c:v>89</c:v>
                </c:pt>
                <c:pt idx="30">
                  <c:v>92</c:v>
                </c:pt>
                <c:pt idx="31">
                  <c:v>92</c:v>
                </c:pt>
                <c:pt idx="32">
                  <c:v>92</c:v>
                </c:pt>
                <c:pt idx="33">
                  <c:v>90</c:v>
                </c:pt>
                <c:pt idx="34">
                  <c:v>91</c:v>
                </c:pt>
                <c:pt idx="35">
                  <c:v>93</c:v>
                </c:pt>
                <c:pt idx="36">
                  <c:v>93</c:v>
                </c:pt>
                <c:pt idx="37">
                  <c:v>91</c:v>
                </c:pt>
                <c:pt idx="38">
                  <c:v>90</c:v>
                </c:pt>
                <c:pt idx="39">
                  <c:v>91</c:v>
                </c:pt>
                <c:pt idx="40">
                  <c:v>91</c:v>
                </c:pt>
                <c:pt idx="41">
                  <c:v>87</c:v>
                </c:pt>
                <c:pt idx="42">
                  <c:v>89</c:v>
                </c:pt>
                <c:pt idx="43">
                  <c:v>92</c:v>
                </c:pt>
                <c:pt idx="44">
                  <c:v>87</c:v>
                </c:pt>
                <c:pt idx="45">
                  <c:v>91</c:v>
                </c:pt>
                <c:pt idx="46">
                  <c:v>87</c:v>
                </c:pt>
                <c:pt idx="47">
                  <c:v>91</c:v>
                </c:pt>
                <c:pt idx="48">
                  <c:v>90</c:v>
                </c:pt>
                <c:pt idx="49">
                  <c:v>92</c:v>
                </c:pt>
                <c:pt idx="50">
                  <c:v>91</c:v>
                </c:pt>
                <c:pt idx="51">
                  <c:v>90</c:v>
                </c:pt>
                <c:pt idx="52">
                  <c:v>88</c:v>
                </c:pt>
                <c:pt idx="53">
                  <c:v>93</c:v>
                </c:pt>
                <c:pt idx="54">
                  <c:v>89</c:v>
                </c:pt>
                <c:pt idx="55">
                  <c:v>91</c:v>
                </c:pt>
                <c:pt idx="56">
                  <c:v>92</c:v>
                </c:pt>
                <c:pt idx="57">
                  <c:v>89</c:v>
                </c:pt>
                <c:pt idx="58">
                  <c:v>88</c:v>
                </c:pt>
                <c:pt idx="59">
                  <c:v>84</c:v>
                </c:pt>
                <c:pt idx="60">
                  <c:v>90</c:v>
                </c:pt>
                <c:pt idx="61">
                  <c:v>92</c:v>
                </c:pt>
                <c:pt idx="62">
                  <c:v>86</c:v>
                </c:pt>
                <c:pt idx="63">
                  <c:v>91</c:v>
                </c:pt>
                <c:pt idx="64">
                  <c:v>90</c:v>
                </c:pt>
                <c:pt idx="65">
                  <c:v>87</c:v>
                </c:pt>
                <c:pt idx="66">
                  <c:v>84</c:v>
                </c:pt>
                <c:pt idx="68">
                  <c:v>91</c:v>
                </c:pt>
                <c:pt idx="69">
                  <c:v>89</c:v>
                </c:pt>
                <c:pt idx="70">
                  <c:v>92</c:v>
                </c:pt>
                <c:pt idx="71">
                  <c:v>90</c:v>
                </c:pt>
                <c:pt idx="72">
                  <c:v>90</c:v>
                </c:pt>
                <c:pt idx="73">
                  <c:v>90</c:v>
                </c:pt>
                <c:pt idx="74">
                  <c:v>90</c:v>
                </c:pt>
                <c:pt idx="75">
                  <c:v>88</c:v>
                </c:pt>
                <c:pt idx="76">
                  <c:v>93</c:v>
                </c:pt>
                <c:pt idx="77">
                  <c:v>93</c:v>
                </c:pt>
                <c:pt idx="78">
                  <c:v>95</c:v>
                </c:pt>
                <c:pt idx="79">
                  <c:v>89</c:v>
                </c:pt>
                <c:pt idx="81">
                  <c:v>89</c:v>
                </c:pt>
                <c:pt idx="82">
                  <c:v>88</c:v>
                </c:pt>
                <c:pt idx="83">
                  <c:v>90</c:v>
                </c:pt>
                <c:pt idx="84">
                  <c:v>89</c:v>
                </c:pt>
                <c:pt idx="87">
                  <c:v>88</c:v>
                </c:pt>
                <c:pt idx="88">
                  <c:v>87</c:v>
                </c:pt>
                <c:pt idx="89">
                  <c:v>90</c:v>
                </c:pt>
                <c:pt idx="90">
                  <c:v>86</c:v>
                </c:pt>
                <c:pt idx="91">
                  <c:v>87</c:v>
                </c:pt>
                <c:pt idx="92">
                  <c:v>89</c:v>
                </c:pt>
                <c:pt idx="93">
                  <c:v>88</c:v>
                </c:pt>
                <c:pt idx="94">
                  <c:v>84</c:v>
                </c:pt>
                <c:pt idx="95">
                  <c:v>90</c:v>
                </c:pt>
                <c:pt idx="96">
                  <c:v>87</c:v>
                </c:pt>
                <c:pt idx="97">
                  <c:v>92</c:v>
                </c:pt>
                <c:pt idx="98">
                  <c:v>89</c:v>
                </c:pt>
                <c:pt idx="99">
                  <c:v>87</c:v>
                </c:pt>
                <c:pt idx="100">
                  <c:v>89</c:v>
                </c:pt>
                <c:pt idx="101">
                  <c:v>89</c:v>
                </c:pt>
                <c:pt idx="102">
                  <c:v>92</c:v>
                </c:pt>
                <c:pt idx="103">
                  <c:v>91</c:v>
                </c:pt>
                <c:pt idx="104">
                  <c:v>90</c:v>
                </c:pt>
                <c:pt idx="105">
                  <c:v>85</c:v>
                </c:pt>
                <c:pt idx="106">
                  <c:v>91</c:v>
                </c:pt>
                <c:pt idx="107">
                  <c:v>86</c:v>
                </c:pt>
                <c:pt idx="108">
                  <c:v>81</c:v>
                </c:pt>
                <c:pt idx="109">
                  <c:v>83</c:v>
                </c:pt>
                <c:pt idx="110">
                  <c:v>86</c:v>
                </c:pt>
                <c:pt idx="111">
                  <c:v>90</c:v>
                </c:pt>
                <c:pt idx="112">
                  <c:v>91</c:v>
                </c:pt>
                <c:pt idx="113">
                  <c:v>89</c:v>
                </c:pt>
                <c:pt idx="114">
                  <c:v>88</c:v>
                </c:pt>
                <c:pt idx="115">
                  <c:v>88</c:v>
                </c:pt>
                <c:pt idx="117">
                  <c:v>89</c:v>
                </c:pt>
                <c:pt idx="118">
                  <c:v>89</c:v>
                </c:pt>
                <c:pt idx="119">
                  <c:v>90</c:v>
                </c:pt>
                <c:pt idx="120">
                  <c:v>84</c:v>
                </c:pt>
                <c:pt idx="121">
                  <c:v>88</c:v>
                </c:pt>
                <c:pt idx="122">
                  <c:v>89</c:v>
                </c:pt>
                <c:pt idx="123">
                  <c:v>83</c:v>
                </c:pt>
                <c:pt idx="124">
                  <c:v>89</c:v>
                </c:pt>
                <c:pt idx="125">
                  <c:v>83</c:v>
                </c:pt>
                <c:pt idx="126">
                  <c:v>87</c:v>
                </c:pt>
                <c:pt idx="129">
                  <c:v>87</c:v>
                </c:pt>
                <c:pt idx="130">
                  <c:v>88</c:v>
                </c:pt>
                <c:pt idx="131">
                  <c:v>90</c:v>
                </c:pt>
                <c:pt idx="132">
                  <c:v>86</c:v>
                </c:pt>
                <c:pt idx="133">
                  <c:v>87</c:v>
                </c:pt>
                <c:pt idx="134">
                  <c:v>84</c:v>
                </c:pt>
                <c:pt idx="137">
                  <c:v>89</c:v>
                </c:pt>
                <c:pt idx="138">
                  <c:v>83</c:v>
                </c:pt>
                <c:pt idx="139">
                  <c:v>84</c:v>
                </c:pt>
                <c:pt idx="140">
                  <c:v>84</c:v>
                </c:pt>
                <c:pt idx="141">
                  <c:v>88</c:v>
                </c:pt>
                <c:pt idx="142">
                  <c:v>91</c:v>
                </c:pt>
                <c:pt idx="143">
                  <c:v>88</c:v>
                </c:pt>
                <c:pt idx="144">
                  <c:v>88</c:v>
                </c:pt>
                <c:pt idx="145">
                  <c:v>86</c:v>
                </c:pt>
                <c:pt idx="146">
                  <c:v>90</c:v>
                </c:pt>
                <c:pt idx="147">
                  <c:v>89</c:v>
                </c:pt>
                <c:pt idx="148">
                  <c:v>91</c:v>
                </c:pt>
                <c:pt idx="149">
                  <c:v>88</c:v>
                </c:pt>
                <c:pt idx="150">
                  <c:v>87</c:v>
                </c:pt>
                <c:pt idx="151">
                  <c:v>87</c:v>
                </c:pt>
                <c:pt idx="152">
                  <c:v>83</c:v>
                </c:pt>
                <c:pt idx="153">
                  <c:v>87</c:v>
                </c:pt>
                <c:pt idx="154">
                  <c:v>87</c:v>
                </c:pt>
                <c:pt idx="155">
                  <c:v>88</c:v>
                </c:pt>
                <c:pt idx="156">
                  <c:v>88</c:v>
                </c:pt>
                <c:pt idx="157">
                  <c:v>90</c:v>
                </c:pt>
                <c:pt idx="158">
                  <c:v>88</c:v>
                </c:pt>
                <c:pt idx="159">
                  <c:v>91</c:v>
                </c:pt>
                <c:pt idx="160">
                  <c:v>81</c:v>
                </c:pt>
                <c:pt idx="161">
                  <c:v>87</c:v>
                </c:pt>
                <c:pt idx="162">
                  <c:v>84</c:v>
                </c:pt>
                <c:pt idx="163">
                  <c:v>88</c:v>
                </c:pt>
                <c:pt idx="164">
                  <c:v>85</c:v>
                </c:pt>
                <c:pt idx="165">
                  <c:v>83</c:v>
                </c:pt>
                <c:pt idx="166">
                  <c:v>89</c:v>
                </c:pt>
                <c:pt idx="167">
                  <c:v>80</c:v>
                </c:pt>
                <c:pt idx="168">
                  <c:v>84</c:v>
                </c:pt>
                <c:pt idx="169">
                  <c:v>89</c:v>
                </c:pt>
                <c:pt idx="170">
                  <c:v>86</c:v>
                </c:pt>
                <c:pt idx="171">
                  <c:v>86</c:v>
                </c:pt>
                <c:pt idx="172">
                  <c:v>83</c:v>
                </c:pt>
                <c:pt idx="173">
                  <c:v>88</c:v>
                </c:pt>
                <c:pt idx="174">
                  <c:v>87</c:v>
                </c:pt>
                <c:pt idx="175">
                  <c:v>89</c:v>
                </c:pt>
                <c:pt idx="176">
                  <c:v>87</c:v>
                </c:pt>
                <c:pt idx="177">
                  <c:v>89</c:v>
                </c:pt>
                <c:pt idx="178">
                  <c:v>89</c:v>
                </c:pt>
                <c:pt idx="181">
                  <c:v>82</c:v>
                </c:pt>
                <c:pt idx="182">
                  <c:v>83</c:v>
                </c:pt>
                <c:pt idx="183">
                  <c:v>86</c:v>
                </c:pt>
                <c:pt idx="184">
                  <c:v>87</c:v>
                </c:pt>
                <c:pt idx="185">
                  <c:v>89</c:v>
                </c:pt>
                <c:pt idx="186">
                  <c:v>89</c:v>
                </c:pt>
                <c:pt idx="187">
                  <c:v>88</c:v>
                </c:pt>
                <c:pt idx="188">
                  <c:v>78</c:v>
                </c:pt>
                <c:pt idx="189">
                  <c:v>77</c:v>
                </c:pt>
                <c:pt idx="190">
                  <c:v>89</c:v>
                </c:pt>
                <c:pt idx="191">
                  <c:v>87</c:v>
                </c:pt>
                <c:pt idx="192">
                  <c:v>86</c:v>
                </c:pt>
                <c:pt idx="193">
                  <c:v>88</c:v>
                </c:pt>
                <c:pt idx="194">
                  <c:v>89</c:v>
                </c:pt>
                <c:pt idx="195">
                  <c:v>91</c:v>
                </c:pt>
                <c:pt idx="196">
                  <c:v>86</c:v>
                </c:pt>
                <c:pt idx="197">
                  <c:v>85</c:v>
                </c:pt>
                <c:pt idx="198">
                  <c:v>86</c:v>
                </c:pt>
                <c:pt idx="199">
                  <c:v>84</c:v>
                </c:pt>
                <c:pt idx="200">
                  <c:v>86</c:v>
                </c:pt>
                <c:pt idx="201">
                  <c:v>91</c:v>
                </c:pt>
                <c:pt idx="202">
                  <c:v>86</c:v>
                </c:pt>
                <c:pt idx="204">
                  <c:v>81</c:v>
                </c:pt>
                <c:pt idx="205">
                  <c:v>89</c:v>
                </c:pt>
                <c:pt idx="206">
                  <c:v>89</c:v>
                </c:pt>
                <c:pt idx="207">
                  <c:v>88</c:v>
                </c:pt>
                <c:pt idx="208">
                  <c:v>93</c:v>
                </c:pt>
                <c:pt idx="209">
                  <c:v>85</c:v>
                </c:pt>
                <c:pt idx="210">
                  <c:v>85</c:v>
                </c:pt>
                <c:pt idx="211">
                  <c:v>90</c:v>
                </c:pt>
                <c:pt idx="212">
                  <c:v>86</c:v>
                </c:pt>
                <c:pt idx="213">
                  <c:v>90</c:v>
                </c:pt>
                <c:pt idx="214">
                  <c:v>91</c:v>
                </c:pt>
                <c:pt idx="215">
                  <c:v>89</c:v>
                </c:pt>
                <c:pt idx="216">
                  <c:v>84</c:v>
                </c:pt>
                <c:pt idx="217">
                  <c:v>83</c:v>
                </c:pt>
                <c:pt idx="221">
                  <c:v>87</c:v>
                </c:pt>
                <c:pt idx="222">
                  <c:v>85</c:v>
                </c:pt>
                <c:pt idx="223">
                  <c:v>81</c:v>
                </c:pt>
                <c:pt idx="224">
                  <c:v>89</c:v>
                </c:pt>
                <c:pt idx="225">
                  <c:v>87</c:v>
                </c:pt>
                <c:pt idx="226">
                  <c:v>88</c:v>
                </c:pt>
                <c:pt idx="229">
                  <c:v>82</c:v>
                </c:pt>
                <c:pt idx="230">
                  <c:v>84</c:v>
                </c:pt>
                <c:pt idx="231">
                  <c:v>82</c:v>
                </c:pt>
                <c:pt idx="232">
                  <c:v>92</c:v>
                </c:pt>
                <c:pt idx="233">
                  <c:v>90</c:v>
                </c:pt>
                <c:pt idx="234">
                  <c:v>80</c:v>
                </c:pt>
                <c:pt idx="235">
                  <c:v>86</c:v>
                </c:pt>
                <c:pt idx="236">
                  <c:v>86</c:v>
                </c:pt>
                <c:pt idx="237">
                  <c:v>84</c:v>
                </c:pt>
                <c:pt idx="241">
                  <c:v>75</c:v>
                </c:pt>
                <c:pt idx="242">
                  <c:v>90</c:v>
                </c:pt>
                <c:pt idx="243">
                  <c:v>85</c:v>
                </c:pt>
                <c:pt idx="244">
                  <c:v>77</c:v>
                </c:pt>
                <c:pt idx="245">
                  <c:v>84</c:v>
                </c:pt>
                <c:pt idx="246">
                  <c:v>80</c:v>
                </c:pt>
                <c:pt idx="247">
                  <c:v>83</c:v>
                </c:pt>
                <c:pt idx="248">
                  <c:v>89</c:v>
                </c:pt>
                <c:pt idx="249">
                  <c:v>89</c:v>
                </c:pt>
                <c:pt idx="250">
                  <c:v>84</c:v>
                </c:pt>
                <c:pt idx="251">
                  <c:v>88</c:v>
                </c:pt>
                <c:pt idx="252">
                  <c:v>79</c:v>
                </c:pt>
                <c:pt idx="253">
                  <c:v>90</c:v>
                </c:pt>
                <c:pt idx="254">
                  <c:v>87</c:v>
                </c:pt>
                <c:pt idx="255">
                  <c:v>83</c:v>
                </c:pt>
                <c:pt idx="256">
                  <c:v>89</c:v>
                </c:pt>
                <c:pt idx="257">
                  <c:v>84</c:v>
                </c:pt>
                <c:pt idx="258">
                  <c:v>82</c:v>
                </c:pt>
                <c:pt idx="259">
                  <c:v>88</c:v>
                </c:pt>
                <c:pt idx="260">
                  <c:v>89</c:v>
                </c:pt>
                <c:pt idx="261">
                  <c:v>83</c:v>
                </c:pt>
                <c:pt idx="262">
                  <c:v>90</c:v>
                </c:pt>
                <c:pt idx="263">
                  <c:v>81</c:v>
                </c:pt>
                <c:pt idx="264">
                  <c:v>86</c:v>
                </c:pt>
                <c:pt idx="265">
                  <c:v>85</c:v>
                </c:pt>
                <c:pt idx="266">
                  <c:v>87</c:v>
                </c:pt>
                <c:pt idx="267">
                  <c:v>90</c:v>
                </c:pt>
                <c:pt idx="268">
                  <c:v>80</c:v>
                </c:pt>
                <c:pt idx="269">
                  <c:v>81</c:v>
                </c:pt>
                <c:pt idx="270">
                  <c:v>81</c:v>
                </c:pt>
                <c:pt idx="271">
                  <c:v>93</c:v>
                </c:pt>
                <c:pt idx="272">
                  <c:v>85</c:v>
                </c:pt>
                <c:pt idx="273">
                  <c:v>88</c:v>
                </c:pt>
                <c:pt idx="274">
                  <c:v>88</c:v>
                </c:pt>
                <c:pt idx="275">
                  <c:v>79</c:v>
                </c:pt>
                <c:pt idx="277">
                  <c:v>84</c:v>
                </c:pt>
                <c:pt idx="279">
                  <c:v>84</c:v>
                </c:pt>
                <c:pt idx="280">
                  <c:v>83</c:v>
                </c:pt>
                <c:pt idx="281">
                  <c:v>83</c:v>
                </c:pt>
                <c:pt idx="282">
                  <c:v>86</c:v>
                </c:pt>
                <c:pt idx="283">
                  <c:v>89</c:v>
                </c:pt>
                <c:pt idx="284">
                  <c:v>89</c:v>
                </c:pt>
                <c:pt idx="285">
                  <c:v>83</c:v>
                </c:pt>
                <c:pt idx="286">
                  <c:v>84</c:v>
                </c:pt>
                <c:pt idx="287">
                  <c:v>88</c:v>
                </c:pt>
                <c:pt idx="288">
                  <c:v>81</c:v>
                </c:pt>
                <c:pt idx="289">
                  <c:v>89</c:v>
                </c:pt>
                <c:pt idx="290">
                  <c:v>78</c:v>
                </c:pt>
                <c:pt idx="291">
                  <c:v>84</c:v>
                </c:pt>
                <c:pt idx="292">
                  <c:v>83</c:v>
                </c:pt>
                <c:pt idx="293">
                  <c:v>91</c:v>
                </c:pt>
                <c:pt idx="294">
                  <c:v>83</c:v>
                </c:pt>
                <c:pt idx="295">
                  <c:v>86</c:v>
                </c:pt>
                <c:pt idx="296">
                  <c:v>86</c:v>
                </c:pt>
                <c:pt idx="297">
                  <c:v>83</c:v>
                </c:pt>
                <c:pt idx="298">
                  <c:v>87</c:v>
                </c:pt>
                <c:pt idx="300">
                  <c:v>84</c:v>
                </c:pt>
                <c:pt idx="303">
                  <c:v>74</c:v>
                </c:pt>
                <c:pt idx="304">
                  <c:v>87</c:v>
                </c:pt>
                <c:pt idx="305">
                  <c:v>86</c:v>
                </c:pt>
                <c:pt idx="306">
                  <c:v>86</c:v>
                </c:pt>
                <c:pt idx="307">
                  <c:v>84</c:v>
                </c:pt>
                <c:pt idx="308">
                  <c:v>84</c:v>
                </c:pt>
                <c:pt idx="309">
                  <c:v>90</c:v>
                </c:pt>
                <c:pt idx="310">
                  <c:v>84</c:v>
                </c:pt>
                <c:pt idx="311">
                  <c:v>90</c:v>
                </c:pt>
                <c:pt idx="312">
                  <c:v>87</c:v>
                </c:pt>
                <c:pt idx="313">
                  <c:v>86</c:v>
                </c:pt>
                <c:pt idx="317">
                  <c:v>87</c:v>
                </c:pt>
                <c:pt idx="318">
                  <c:v>81</c:v>
                </c:pt>
                <c:pt idx="319">
                  <c:v>81</c:v>
                </c:pt>
                <c:pt idx="320">
                  <c:v>83</c:v>
                </c:pt>
                <c:pt idx="322">
                  <c:v>92</c:v>
                </c:pt>
                <c:pt idx="323">
                  <c:v>86</c:v>
                </c:pt>
                <c:pt idx="324">
                  <c:v>86</c:v>
                </c:pt>
                <c:pt idx="325">
                  <c:v>88</c:v>
                </c:pt>
                <c:pt idx="326">
                  <c:v>85</c:v>
                </c:pt>
                <c:pt idx="329">
                  <c:v>87</c:v>
                </c:pt>
                <c:pt idx="330">
                  <c:v>73</c:v>
                </c:pt>
                <c:pt idx="331">
                  <c:v>89</c:v>
                </c:pt>
                <c:pt idx="332">
                  <c:v>84</c:v>
                </c:pt>
                <c:pt idx="333">
                  <c:v>83</c:v>
                </c:pt>
                <c:pt idx="334">
                  <c:v>83</c:v>
                </c:pt>
                <c:pt idx="335">
                  <c:v>84</c:v>
                </c:pt>
                <c:pt idx="336">
                  <c:v>88</c:v>
                </c:pt>
                <c:pt idx="337">
                  <c:v>88</c:v>
                </c:pt>
                <c:pt idx="338">
                  <c:v>86</c:v>
                </c:pt>
                <c:pt idx="339">
                  <c:v>84</c:v>
                </c:pt>
                <c:pt idx="340">
                  <c:v>88</c:v>
                </c:pt>
                <c:pt idx="341">
                  <c:v>78</c:v>
                </c:pt>
                <c:pt idx="342">
                  <c:v>85</c:v>
                </c:pt>
                <c:pt idx="343">
                  <c:v>85</c:v>
                </c:pt>
                <c:pt idx="344">
                  <c:v>85</c:v>
                </c:pt>
                <c:pt idx="347">
                  <c:v>78</c:v>
                </c:pt>
                <c:pt idx="348">
                  <c:v>77</c:v>
                </c:pt>
                <c:pt idx="349">
                  <c:v>88</c:v>
                </c:pt>
                <c:pt idx="350">
                  <c:v>84</c:v>
                </c:pt>
                <c:pt idx="351">
                  <c:v>80</c:v>
                </c:pt>
                <c:pt idx="352">
                  <c:v>79</c:v>
                </c:pt>
                <c:pt idx="353">
                  <c:v>85</c:v>
                </c:pt>
                <c:pt idx="354">
                  <c:v>73</c:v>
                </c:pt>
                <c:pt idx="355">
                  <c:v>87</c:v>
                </c:pt>
                <c:pt idx="356">
                  <c:v>88</c:v>
                </c:pt>
                <c:pt idx="357">
                  <c:v>87</c:v>
                </c:pt>
                <c:pt idx="358">
                  <c:v>89</c:v>
                </c:pt>
                <c:pt idx="359">
                  <c:v>82</c:v>
                </c:pt>
                <c:pt idx="360">
                  <c:v>82</c:v>
                </c:pt>
                <c:pt idx="361">
                  <c:v>80</c:v>
                </c:pt>
                <c:pt idx="362">
                  <c:v>85</c:v>
                </c:pt>
                <c:pt idx="363">
                  <c:v>72</c:v>
                </c:pt>
                <c:pt idx="364">
                  <c:v>72</c:v>
                </c:pt>
                <c:pt idx="365">
                  <c:v>87</c:v>
                </c:pt>
                <c:pt idx="366">
                  <c:v>86</c:v>
                </c:pt>
                <c:pt idx="367">
                  <c:v>85</c:v>
                </c:pt>
                <c:pt idx="368">
                  <c:v>85</c:v>
                </c:pt>
                <c:pt idx="369">
                  <c:v>79</c:v>
                </c:pt>
                <c:pt idx="370">
                  <c:v>86</c:v>
                </c:pt>
                <c:pt idx="372">
                  <c:v>86</c:v>
                </c:pt>
                <c:pt idx="374">
                  <c:v>84</c:v>
                </c:pt>
                <c:pt idx="375">
                  <c:v>80</c:v>
                </c:pt>
                <c:pt idx="376">
                  <c:v>86</c:v>
                </c:pt>
                <c:pt idx="377">
                  <c:v>85</c:v>
                </c:pt>
                <c:pt idx="378">
                  <c:v>80</c:v>
                </c:pt>
                <c:pt idx="379">
                  <c:v>87</c:v>
                </c:pt>
                <c:pt idx="380">
                  <c:v>84</c:v>
                </c:pt>
                <c:pt idx="381">
                  <c:v>83</c:v>
                </c:pt>
                <c:pt idx="383">
                  <c:v>81</c:v>
                </c:pt>
                <c:pt idx="384">
                  <c:v>83</c:v>
                </c:pt>
                <c:pt idx="385">
                  <c:v>82</c:v>
                </c:pt>
                <c:pt idx="386">
                  <c:v>87</c:v>
                </c:pt>
                <c:pt idx="387">
                  <c:v>86</c:v>
                </c:pt>
                <c:pt idx="389">
                  <c:v>82</c:v>
                </c:pt>
                <c:pt idx="390">
                  <c:v>84</c:v>
                </c:pt>
                <c:pt idx="391">
                  <c:v>85</c:v>
                </c:pt>
                <c:pt idx="392">
                  <c:v>85</c:v>
                </c:pt>
                <c:pt idx="393">
                  <c:v>82</c:v>
                </c:pt>
                <c:pt idx="394">
                  <c:v>84</c:v>
                </c:pt>
                <c:pt idx="395">
                  <c:v>82</c:v>
                </c:pt>
                <c:pt idx="396">
                  <c:v>74</c:v>
                </c:pt>
                <c:pt idx="397">
                  <c:v>77</c:v>
                </c:pt>
                <c:pt idx="398">
                  <c:v>79</c:v>
                </c:pt>
                <c:pt idx="399">
                  <c:v>83</c:v>
                </c:pt>
                <c:pt idx="400">
                  <c:v>78</c:v>
                </c:pt>
                <c:pt idx="401">
                  <c:v>82</c:v>
                </c:pt>
                <c:pt idx="402">
                  <c:v>82</c:v>
                </c:pt>
                <c:pt idx="403">
                  <c:v>78</c:v>
                </c:pt>
                <c:pt idx="404">
                  <c:v>82</c:v>
                </c:pt>
                <c:pt idx="405">
                  <c:v>86</c:v>
                </c:pt>
                <c:pt idx="408">
                  <c:v>81</c:v>
                </c:pt>
                <c:pt idx="409">
                  <c:v>78</c:v>
                </c:pt>
                <c:pt idx="410">
                  <c:v>80</c:v>
                </c:pt>
                <c:pt idx="411">
                  <c:v>83</c:v>
                </c:pt>
                <c:pt idx="412">
                  <c:v>82</c:v>
                </c:pt>
                <c:pt idx="413">
                  <c:v>81</c:v>
                </c:pt>
                <c:pt idx="414">
                  <c:v>74</c:v>
                </c:pt>
                <c:pt idx="415">
                  <c:v>74</c:v>
                </c:pt>
                <c:pt idx="421">
                  <c:v>83</c:v>
                </c:pt>
                <c:pt idx="422">
                  <c:v>80</c:v>
                </c:pt>
                <c:pt idx="423">
                  <c:v>76</c:v>
                </c:pt>
                <c:pt idx="424">
                  <c:v>78</c:v>
                </c:pt>
                <c:pt idx="425">
                  <c:v>77</c:v>
                </c:pt>
                <c:pt idx="426">
                  <c:v>79</c:v>
                </c:pt>
                <c:pt idx="427">
                  <c:v>79</c:v>
                </c:pt>
                <c:pt idx="430">
                  <c:v>77</c:v>
                </c:pt>
                <c:pt idx="431">
                  <c:v>79</c:v>
                </c:pt>
                <c:pt idx="432">
                  <c:v>78</c:v>
                </c:pt>
                <c:pt idx="433">
                  <c:v>78</c:v>
                </c:pt>
                <c:pt idx="435">
                  <c:v>80</c:v>
                </c:pt>
                <c:pt idx="436">
                  <c:v>76</c:v>
                </c:pt>
                <c:pt idx="437">
                  <c:v>77</c:v>
                </c:pt>
                <c:pt idx="438">
                  <c:v>76</c:v>
                </c:pt>
                <c:pt idx="439">
                  <c:v>76</c:v>
                </c:pt>
                <c:pt idx="440">
                  <c:v>77</c:v>
                </c:pt>
                <c:pt idx="441">
                  <c:v>91</c:v>
                </c:pt>
                <c:pt idx="442">
                  <c:v>80</c:v>
                </c:pt>
                <c:pt idx="443">
                  <c:v>72</c:v>
                </c:pt>
                <c:pt idx="444">
                  <c:v>71</c:v>
                </c:pt>
                <c:pt idx="445">
                  <c:v>71</c:v>
                </c:pt>
                <c:pt idx="446">
                  <c:v>71</c:v>
                </c:pt>
                <c:pt idx="447">
                  <c:v>71</c:v>
                </c:pt>
                <c:pt idx="448">
                  <c:v>57</c:v>
                </c:pt>
              </c:numCache>
            </c:numRef>
          </c:yVal>
          <c:smooth val="0"/>
          <c:extLst>
            <c:ext xmlns:c16="http://schemas.microsoft.com/office/drawing/2014/chart" uri="{C3380CC4-5D6E-409C-BE32-E72D297353CC}">
              <c16:uniqueId val="{00000001-6E55-AD4F-82EA-93ACA79E7E4E}"/>
            </c:ext>
          </c:extLst>
        </c:ser>
        <c:dLbls>
          <c:showLegendKey val="0"/>
          <c:showVal val="0"/>
          <c:showCatName val="0"/>
          <c:showSerName val="0"/>
          <c:showPercent val="0"/>
          <c:showBubbleSize val="0"/>
        </c:dLbls>
        <c:axId val="1299348944"/>
        <c:axId val="1681467152"/>
      </c:scatterChart>
      <c:valAx>
        <c:axId val="1299348944"/>
        <c:scaling>
          <c:orientation val="minMax"/>
          <c:min val="60"/>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Critic 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A"/>
            </a:p>
          </c:txPr>
        </c:title>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A"/>
          </a:p>
        </c:txPr>
        <c:crossAx val="1681467152"/>
        <c:crosses val="autoZero"/>
        <c:crossBetween val="midCat"/>
      </c:valAx>
      <c:valAx>
        <c:axId val="1681467152"/>
        <c:scaling>
          <c:orientation val="minMax"/>
          <c:min val="60"/>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Audience  raiting</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A"/>
            </a:p>
          </c:txPr>
        </c:title>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A"/>
          </a:p>
        </c:txPr>
        <c:crossAx val="129934894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6</xdr:row>
      <xdr:rowOff>0</xdr:rowOff>
    </xdr:from>
    <xdr:to>
      <xdr:col>6</xdr:col>
      <xdr:colOff>38100</xdr:colOff>
      <xdr:row>20</xdr:row>
      <xdr:rowOff>88900</xdr:rowOff>
    </xdr:to>
    <xdr:graphicFrame macro="">
      <xdr:nvGraphicFramePr>
        <xdr:cNvPr id="2" name="Chart 1">
          <a:extLst>
            <a:ext uri="{FF2B5EF4-FFF2-40B4-BE49-F238E27FC236}">
              <a16:creationId xmlns:a16="http://schemas.microsoft.com/office/drawing/2014/main" id="{20537EB9-6946-FA4C-83A6-B895E269B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139700</xdr:colOff>
      <xdr:row>5</xdr:row>
      <xdr:rowOff>190500</xdr:rowOff>
    </xdr:from>
    <xdr:to>
      <xdr:col>13</xdr:col>
      <xdr:colOff>103697</xdr:colOff>
      <xdr:row>20</xdr:row>
      <xdr:rowOff>114300</xdr:rowOff>
    </xdr:to>
    <xdr:graphicFrame macro="">
      <xdr:nvGraphicFramePr>
        <xdr:cNvPr id="3" name="Chart 2">
          <a:extLst>
            <a:ext uri="{FF2B5EF4-FFF2-40B4-BE49-F238E27FC236}">
              <a16:creationId xmlns:a16="http://schemas.microsoft.com/office/drawing/2014/main" id="{5E8866A9-F9DC-C84F-9F6E-2E6EB4FFC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279400</xdr:colOff>
      <xdr:row>5</xdr:row>
      <xdr:rowOff>177800</xdr:rowOff>
    </xdr:from>
    <xdr:to>
      <xdr:col>21</xdr:col>
      <xdr:colOff>584200</xdr:colOff>
      <xdr:row>20</xdr:row>
      <xdr:rowOff>152400</xdr:rowOff>
    </xdr:to>
    <xdr:graphicFrame macro="">
      <xdr:nvGraphicFramePr>
        <xdr:cNvPr id="4" name="Chart 3">
          <a:extLst>
            <a:ext uri="{FF2B5EF4-FFF2-40B4-BE49-F238E27FC236}">
              <a16:creationId xmlns:a16="http://schemas.microsoft.com/office/drawing/2014/main" id="{CACE54B2-31F9-4443-BB18-C48890A5A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mytro Stetsiuk" refreshedDate="46183.752864467591" createdVersion="8" refreshedVersion="8" minRefreshableVersion="3" recordCount="449" xr:uid="{47645A05-5867-B347-9344-23AAD9072AE6}">
  <cacheSource type="worksheet">
    <worksheetSource name="Top_500_Movies_Ranked_by_Combined_Critics_and_Audience_Scores"/>
  </cacheSource>
  <cacheFields count="24">
    <cacheField name="Rank" numFmtId="164">
      <sharedItems containsSemiMixedTypes="0" containsString="0" containsNumber="1" containsInteger="1" minValue="1" maxValue="449" count="44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sharedItems>
    </cacheField>
    <cacheField name="Title" numFmtId="0">
      <sharedItems count="448">
        <s v="The Godfather"/>
        <s v="Seven Samurai"/>
        <s v="12 Angry Men"/>
        <s v="Schindler's List"/>
        <s v="The Godfather: Part II"/>
        <s v="Rear Window"/>
        <s v="Pulp Fiction"/>
        <s v="City Lights"/>
        <s v="Spirited Away"/>
        <s v="Parasite"/>
        <s v="Modern Times"/>
        <s v="Goodfellas"/>
        <s v="The Good, the Bad and the Ugly"/>
        <s v="Dr. Strangelove or: How I Learned to Stop Worrying and Love the Bomb"/>
        <s v="Casablanca"/>
        <s v="The Battle of Algiers"/>
        <s v="Singin' in the Rain"/>
        <s v="Some Like It Hot"/>
        <s v="Psycho"/>
        <s v="Apocalypse Now"/>
        <s v="Double Indemnity"/>
        <s v="Rashomon"/>
        <s v="Lawrence of Arabia"/>
        <s v="All About Eve"/>
        <s v="Portrait of a Lady on Fire"/>
        <s v="A Separation"/>
        <s v="One Battle After Another"/>
        <s v="The Lord of the Rings: The Return of the King"/>
        <s v="Citizen Kane"/>
        <s v="Metropolis"/>
        <s v="It's a Wonderful Life"/>
        <s v="Sunset Blvd."/>
        <s v="The Lord of the Rings: The Fellowship of the Ring"/>
        <s v="North by Northwest"/>
        <s v="The Apartment"/>
        <s v="One Flew Over the Cuckoo's Nest"/>
        <s v="Star Wars: Episode V - The Empire Strikes Back"/>
        <s v="Whiplash"/>
        <s v="Vertigo"/>
        <s v="Bicycle Thieves"/>
        <s v="Ran"/>
        <s v="Pan's Labyrinth"/>
        <s v="The Third Man"/>
        <s v="Star Wars: Episode IV - A New Hope"/>
        <s v="12 Years a Slave"/>
        <s v="Saving Private Ryan"/>
        <s v="WALL·E"/>
        <s v="Alien"/>
        <s v="The 400 Blows"/>
        <s v="The Silence of the Lambs"/>
        <s v="Back to the Future"/>
        <s v="Taxi Driver"/>
        <s v="Touch of Evil"/>
        <s v="The Pianist"/>
        <s v="Toy Story"/>
        <s v="Raiders of the Lost Ark"/>
        <s v="The Lives of Others"/>
        <s v="The Best Years of Our Lives"/>
        <s v="The Shop Around the Corner"/>
        <s v="There Will Be Blood"/>
        <s v="The Seventh Seal"/>
        <s v="The Lord of the Rings: The Two Towers"/>
        <s v="Do the Right Thing"/>
        <s v="Amadeus"/>
        <s v="Eternal Sunshine of the Spotless Mind"/>
        <s v="The Night of the Hunter"/>
        <s v="Ratatouille"/>
        <s v="Past Lives"/>
        <s v="The Departed"/>
        <s v="Chinatown"/>
        <s v="Paths of Glory"/>
        <s v="Monty Python and the Holy Grail"/>
        <s v="My Neighbor Totoro"/>
        <s v="L.A. Confidential"/>
        <s v="The Lion King"/>
        <s v="Hamilton"/>
        <s v="Cinema Paradiso"/>
        <s v="City of God"/>
        <s v="Wolfwalkers"/>
        <s v="The Bridge on the River Kwai"/>
        <s v="I'm Still Here"/>
        <s v="It Happened One Night"/>
        <s v="Beauty and the Beast"/>
        <s v="Spider-Man: Into the Spider-Verse"/>
        <s v="8½"/>
        <s v="Spider-Man: Across the Spider-Verse"/>
        <s v="The Wild Robot"/>
        <s v="Gone with the Wind"/>
        <s v="The Wild Bunch"/>
        <s v="In the Mood for Love"/>
        <s v="Toy Story 3"/>
        <s v="The Truman Show"/>
        <s v="Fargo"/>
        <s v="Shoplifters"/>
        <s v="No Country for Old Men"/>
        <s v="Aliens"/>
        <s v="La Dolce Vita"/>
        <s v="Once Upon a Time in the West"/>
        <s v="The General"/>
        <s v="Solaris"/>
        <s v="Platoon"/>
        <s v="Spotlight"/>
        <s v="Forrest Gump"/>
        <s v="Your Name"/>
        <s v="Memories of Murder"/>
        <s v="The Wizard of Oz"/>
        <s v="The Wages of Fear"/>
        <s v="The Last Picture Show"/>
        <s v="I Am Not Your Negro"/>
        <s v="The Act of Killing"/>
        <s v="The Cabinet of Dr. Caligari"/>
        <s v="Reservoir Dogs"/>
        <s v="Memento"/>
        <s v="The Deer Hunter"/>
        <s v="Yi Yi"/>
        <s v="The Handmaid"/>
        <s v="Aftersun"/>
        <s v="Raging Bull"/>
        <s v="Nobody Knows"/>
        <s v="Terminator 2: Judgment Day"/>
        <s v="Rosemary's Baby"/>
        <s v="The Philadelphia Story"/>
        <s v="Diabolique"/>
        <s v="Mad Max: Fury Road"/>
        <s v="To Kill a Mockingbird"/>
        <s v="Crouching Tiger, Hidden Dragon"/>
        <s v="2001: A Space Odyssey"/>
        <s v="Dune: Part Two"/>
        <s v="Flow"/>
        <s v="Waltz with Bashir"/>
        <s v="Persepolis"/>
        <s v="Won't You Be My Neighbor?"/>
        <s v="Inside Out"/>
        <s v="Up"/>
        <s v="Call Me by Your Name"/>
        <s v="Oppenheimer"/>
        <s v="The Father"/>
        <s v="La Strada"/>
        <s v="4 Months, 3 Weeks and 2 Days"/>
        <s v="The Grand Budapest Hotel"/>
        <s v="Finding Nemo"/>
        <s v="Rebecca"/>
        <s v="Princess Mononoke"/>
        <s v="Django Unchained"/>
        <s v="Strangers on a Train"/>
        <s v="The Manchurian Candidate"/>
        <s v="Howl's Moving Castle"/>
        <s v="Trainspotting"/>
        <s v="On the Waterfront"/>
        <s v="Annie Hall"/>
        <s v="The Tale of The Princess Kaguya"/>
        <s v="Dog Day Afternoon"/>
        <s v="Marriage Story"/>
        <s v="Million Dollar Baby"/>
        <s v="The Maltese Falcon"/>
        <s v="13th"/>
        <s v="The King's Speech"/>
        <s v="Downfall"/>
        <s v="The Diving Bell and the Butterfly"/>
        <s v="Coco"/>
        <s v="Amour"/>
        <s v="The Straight Story"/>
        <s v="The French Connection"/>
        <s v="Young Frankenstein"/>
        <s v="A Hard Day's Night"/>
        <s v="The Irishman"/>
        <s v="Free Solo"/>
        <s v="La La Land"/>
        <s v="Night of the Living Dead"/>
        <s v="Unforgiven"/>
        <s v="The Terminator"/>
        <s v="The Conversation"/>
        <s v="The Social Network"/>
        <s v="Little Women"/>
        <s v="Before Sunset"/>
        <s v="Spring, Summer, Fall, Winter... and Spring"/>
        <s v="The Iron Giant"/>
        <s v="Incendies"/>
        <s v="Barry Lyndon"/>
        <s v="The Quiet Girl"/>
        <s v="All of Us Strangers"/>
        <s v="Invasion of the Body Snatchers"/>
        <s v="Toy Story 2"/>
        <s v="Jaws"/>
        <s v="Almost Famous"/>
        <s v="Song of the Sea"/>
        <s v="Before Sunrise"/>
        <s v="Blade Runner"/>
        <s v="Boyhood"/>
        <s v="Moonlight"/>
        <s v="Room"/>
        <s v="The Big Sleep"/>
        <s v="His Girl Friday"/>
        <s v="All About My Mother"/>
        <s v="Network"/>
        <s v="Oldboy"/>
        <s v="The Triplets of Belleville"/>
        <s v="A Prophet"/>
        <s v="Slumdog Millionaire"/>
        <s v="Paddington 2"/>
        <s v="My Fair Lady"/>
        <s v="The Sting"/>
        <s v="All Quiet on the Western Front"/>
        <s v="The Brutalist"/>
        <s v="Her"/>
        <s v="The Secret in Their Eyes"/>
        <s v="The Elephant Man"/>
        <s v="Aladdin"/>
        <s v="Ford v. Ferrari"/>
        <s v="Three Billboards Outside Ebbing, Missouri"/>
        <s v="Halloween"/>
        <s v="A Clockwork Orange"/>
        <s v="The Graduate"/>
        <s v="Full Metal Jacket"/>
        <s v="Good Will Hunting"/>
        <s v="Inception"/>
        <s v="Eyes Without a Face"/>
        <s v="King Kong"/>
        <s v="The Boy and the Heron"/>
        <s v="The Holdovers"/>
        <s v="Sinners"/>
        <s v="Harry Potter and the Deathly Hallows: Part 2"/>
        <s v="Boogie Nights"/>
        <s v="The Hurt Locker"/>
        <s v="Dead Poets Society"/>
        <s v="The Nightmare Before Christmas"/>
        <s v="Avengers: Endgame"/>
        <s v="RRR"/>
        <s v="Drive My Car"/>
        <s v="Children of Men"/>
        <s v="Y Tu Mamá También"/>
        <s v="Close Encounters of the Third Kind"/>
        <s v="The Usual Suspects"/>
        <s v="The Hunt"/>
        <s v="Fantasia"/>
        <s v="Kill Bill: Vol. 2"/>
        <s v="Brazil"/>
        <s v="One Cut of the Dead"/>
        <s v="Monster"/>
        <s v="Perfect Days"/>
        <s v="Robot Dreams"/>
        <s v="The Incredibles"/>
        <s v="Stand by Me"/>
        <s v="Goldfinger"/>
        <s v="Manchester by the Sea"/>
        <s v="Frankenstein"/>
        <s v="Before Midnight"/>
        <s v="Man on Wire"/>
        <s v="American Beauty"/>
        <s v="The Princess Bride"/>
        <s v="Deep Red"/>
        <s v="Mary and Max"/>
        <s v="Dunkirk"/>
        <s v="Heat"/>
        <s v="Pride &amp; Prejudice"/>
        <s v="Repulsion"/>
        <s v="Capernaum"/>
        <s v="Mulholland Drive"/>
        <s v="Lost in Translation"/>
        <s v="All the President's Men"/>
        <s v="Amores Perros"/>
        <s v="The Umbrellas of Cherbourg"/>
        <s v="Nine Queens"/>
        <s v="Nashville"/>
        <s v="1917"/>
        <s v="Interstellar"/>
        <s v="Monsters, Inc."/>
        <s v="Die Hard"/>
        <s v="Thelma &amp; Louise"/>
        <s v="Winter Sleep"/>
        <s v="Brokeback Mountain"/>
        <s v="Fight Club"/>
        <s v="The Fugitive"/>
        <s v="Searching for Sugar Man"/>
        <s v="Knives Out"/>
        <s v="Donnie Darko"/>
        <s v="Minari"/>
        <s v="Citizenfour"/>
        <s v="Flee"/>
        <s v="Hell or High Water"/>
        <s v="Moonrise Kingdom"/>
        <s v="Being John Malkovich"/>
        <s v="Rushmore"/>
        <s v="The King of Kong: A Fistful of Quarters"/>
        <s v="Life of Brian"/>
        <s v="The Wind Rises"/>
        <s v="Bonnie and Clyde"/>
        <s v="Sing Street"/>
        <s v="About Elly"/>
        <s v="Hotel Rwanda"/>
        <s v="The Florida Project"/>
        <s v="God's Own Country"/>
        <s v="Get Out"/>
        <s v="Amélie"/>
        <s v="The Farewell"/>
        <s v="Soul"/>
        <s v="High Noon"/>
        <s v="Fantastic Mr. Fox"/>
        <s v="The Second Mother"/>
        <s v="Godzilla Minus One"/>
        <s v="Nosferatu"/>
        <s v="La Chimera"/>
        <s v="The Worst Person in the World"/>
        <s v="Carol"/>
        <s v="Hunt for the Wilderpeople"/>
        <s v="Once"/>
        <s v="Shrek"/>
        <s v="The Wrestler"/>
        <s v="The Artist"/>
        <s v="Mr. Smith Goes to Washington"/>
        <s v="Hero"/>
        <s v="The Shining"/>
        <s v="Exit Through the Gift Shop"/>
        <s v="Let the Right One In"/>
        <s v="Anora"/>
        <s v="Close"/>
        <s v="The Banshees of Inisherin"/>
        <s v="Little Miss Sunshine"/>
        <s v="Who Framed Roger Rabbit"/>
        <s v="Ponyo"/>
        <s v="Quiz Show"/>
        <s v="Snow White and the Seven Dwarfs"/>
        <s v="Se7en"/>
        <s v="The Bourne Ultimatum"/>
        <s v="This Is England"/>
        <s v="Short Term 12"/>
        <s v="Casino Royale"/>
        <s v="Anatomy of a Fall"/>
        <s v="Petite maman"/>
        <s v="Another Round"/>
        <s v="Roma"/>
        <s v="Roman Holiday"/>
        <s v="The Matrix"/>
        <s v="Brooklyn"/>
        <s v="Letters from Iwo Jima"/>
        <s v="Harry Potter and the Prisoner of Azkaban"/>
        <s v="Talk to Her"/>
        <s v="Shaun of the Dead"/>
        <s v="Pain and Glory"/>
        <s v="The Exorcist"/>
        <s v="Wild Tales"/>
        <s v="Gravity"/>
        <s v="Freaks"/>
        <s v="Mother"/>
        <s v="Mustang"/>
        <s v="Everything Everywhere All at Once"/>
        <s v="Poor Things"/>
        <s v="Cold War"/>
        <s v="Zero Dark Thirty"/>
        <s v="Jurassic Park"/>
        <s v="Mission: Impossible - Fallout"/>
        <s v="American Graffiti"/>
        <s v="House of Flying Daggers"/>
        <s v="Volver"/>
        <s v="Inside Llewyn Davis"/>
        <s v="Sound of Metal"/>
        <s v="Dallas Buyers Club"/>
        <s v="The Martian"/>
        <s v="Casino"/>
        <s v="Peeping Tom"/>
        <s v="Black Swan"/>
        <s v="Mean Streets"/>
        <s v="Isle of Dogs"/>
        <s v="Pinocchio"/>
        <s v="E.T. the Extra-Terrestrial"/>
        <s v="How to Train Your Dragon"/>
        <s v="Inglourious Basterds"/>
        <s v="Godzilla"/>
        <s v="Hot Fuzz"/>
        <s v="The Texas Chain Saw Massacre"/>
        <s v="Dawn of the Dead"/>
        <s v="Guillermo del Toro's Pinocchio"/>
        <s v="Breathless"/>
        <s v="Hundreds of Beavers"/>
        <s v="Ordinary People"/>
        <s v="Oslo, August 31st"/>
        <s v="Pride"/>
        <s v="Kramer vs. Kramer"/>
        <s v="Arrival"/>
        <s v="Blackfish"/>
        <s v="Amy"/>
        <s v="Belle de Jour"/>
        <s v="The Birds"/>
        <s v="The Lunchbox"/>
        <s v="Meet Me in St. Louis"/>
        <s v="Malcolm X"/>
        <s v="Laura"/>
        <s v="The Wonderful Story of Henry Sugar"/>
        <s v="Moneyball"/>
        <s v="Midnight Cowboy"/>
        <s v="Gone Girl"/>
        <s v="Captain Phillips"/>
        <s v="Sicario"/>
        <s v="The Little Mermaid"/>
        <s v="Skyfall"/>
        <s v="Coraline"/>
        <s v="Lady Bird"/>
        <s v="The Wicker Man"/>
        <s v="What We Do in the Shadows"/>
        <s v="Burning"/>
        <s v="Adaptation."/>
        <s v="The Wolf of Wall Street"/>
        <s v="The Great Beauty"/>
        <s v="American Splendor"/>
        <s v="Catch Me If You Can"/>
        <s v="The Beasts"/>
        <s v="Argentina, 1985"/>
        <s v="BlacKkKlansman"/>
        <s v="Assault on Precinct 13"/>
        <s v="Eraserhead"/>
        <s v="Baby Driver"/>
        <s v="The Secret of Kells"/>
        <s v="West Side Story"/>
        <s v="Don't Look Now"/>
        <s v="Once Upon a Time in Anatolia"/>
        <s v="The Taste of Things"/>
        <s v="Judas and the Black Messiah"/>
        <s v="Society of the Snow"/>
        <s v="Fire of Love"/>
        <s v="Decision to Leave"/>
        <s v="Ex Machina"/>
        <s v="Blow Out"/>
        <s v="Carrie"/>
        <s v="Drive"/>
        <s v="Black Panther"/>
        <s v="Heavenly Creatures"/>
        <s v="Blade Runner 2049"/>
        <s v="American Fiction"/>
        <s v="Suzume"/>
        <s v="Sideways"/>
        <s v="Spider-Man 2"/>
        <s v="A Star Is Born"/>
        <s v="The White Ribbon"/>
        <s v="Top Gun: Maverick"/>
        <s v="The Fly"/>
        <s v="Birdman: Or (The Unexpected Virtue of Ignorance)"/>
        <s v="Ida"/>
        <s v="Frances Ha"/>
        <s v="The Death of Stalin"/>
        <s v="Son of Saul"/>
        <s v="M"/>
        <s v="Kill Bill: Vol. 1"/>
        <s v="Cat People"/>
        <s v="Rocky"/>
        <s v="Phantom Thread"/>
        <s v="Paterson"/>
        <s v="Titanic"/>
        <s v="Uncut Gems"/>
      </sharedItems>
    </cacheField>
    <cacheField name="Year" numFmtId="1">
      <sharedItems containsSemiMixedTypes="0" containsString="0" containsNumber="1" containsInteger="1" minValue="1920" maxValue="2025"/>
    </cacheField>
    <cacheField name="Genre" numFmtId="0">
      <sharedItems count="228">
        <s v="Drama, Crime"/>
        <s v="Action, Drama"/>
        <s v="Drama"/>
        <s v="Drama, History, War"/>
        <s v="Thriller, Mystery"/>
        <s v="Thriller, Crime"/>
        <s v="Comedy, Drama, Romance"/>
        <s v="Animation, Family, Fantasy"/>
        <s v="Comedy, Thriller, Drama"/>
        <s v="Western"/>
        <s v="Comedy, War"/>
        <s v="Drama, Romance"/>
        <s v="Drama, War, History"/>
        <s v="Comedy, Romance"/>
        <s v="Comedy, Romance, Crime"/>
        <s v="Horror, Thriller, Mystery"/>
        <s v="Drama, War"/>
        <s v="Crime, Thriller"/>
        <s v="Crime, Drama, Mystery"/>
        <s v="Adventure, History, War"/>
        <s v="Drama, Romance, History"/>
        <s v="Action, Thriller, Crime"/>
        <s v="Adventure, Fantasy, Action"/>
        <s v="Mystery, Drama"/>
        <s v="Drama, Science Fiction"/>
        <s v="Drama, Family, Fantasy"/>
        <s v="Thriller, Adventure"/>
        <s v="Adventure, Action, Science Fiction"/>
        <s v="Drama, Music"/>
        <s v="Mystery, Romance, Thriller"/>
        <s v="Action, Drama, History"/>
        <s v="Fantasy, Drama, War"/>
        <s v="Drama, History"/>
        <s v="Animation, Family, Science Fiction"/>
        <s v="Horror, Science Fiction"/>
        <s v="Crime, Drama, Thriller"/>
        <s v="Adventure, Comedy, Science Fiction"/>
        <s v="Crime, Drama"/>
        <s v="Crime, Thriller, Mystery, Drama"/>
        <s v="Animation, Adventure, Family, Comedy"/>
        <s v="Adventure, Action"/>
        <s v="Drama, Thriller"/>
        <s v="Drama, Romance, War"/>
        <s v="Fantasy, Drama"/>
        <s v="History, Music, Drama"/>
        <s v="Science Fiction, Drama, Romance"/>
        <s v="Animation, Comedy, Family, Fantasy"/>
        <s v="Drama, Thriller, Crime"/>
        <s v="Crime, Drama, Mystery, Thriller"/>
        <s v="War, Drama, History"/>
        <s v="Adventure, Comedy, Fantasy"/>
        <s v="Fantasy, Animation, Family"/>
        <s v="Crime, Mystery, Thriller, Drama"/>
        <s v="Family, Animation, Drama"/>
        <s v="History, Drama"/>
        <s v="Animation, Family, Adventure, Fantasy"/>
        <s v="Romance, Family, Animation, Fantasy"/>
        <s v="Animation, Action, Adventure, Science Fiction"/>
        <s v="Animation, Science Fiction, Family"/>
        <s v="Drama, War, Romance"/>
        <s v="Animation, Family, Comedy"/>
        <s v="Comedy, Drama"/>
        <s v="Drama, Crime, Thriller"/>
        <s v="Action, Thriller, Science Fiction"/>
        <s v="Drama, Western"/>
        <s v="Comedy, Action, Adventure, War"/>
        <s v="Drama, Science Fiction, Mystery"/>
        <s v="Drama, War, Action"/>
        <s v="Animation, Romance, Drama"/>
        <s v="Adventure, Fantasy, Family"/>
        <s v="Drama, Thriller, Adventure"/>
        <s v="Documentary"/>
        <s v="Drama, Horror, Thriller, Crime"/>
        <s v="Mystery, Thriller"/>
        <s v="Thriller, Drama, Romance"/>
        <s v="Drama, Horror, Thriller"/>
        <s v="Action, Adventure, Science Fiction"/>
        <s v="Adventure, Drama, Action, Romance"/>
        <s v="Science Fiction, Mystery, Adventure"/>
        <s v="Science Fiction, Adventure"/>
        <s v="Animation, Fantasy, Adventure"/>
        <s v="Drama, Animation, War, Documentary"/>
        <s v="Animation, Drama"/>
        <s v="Animation, Family, Adventure, Drama, Comedy"/>
        <s v="Animation, Comedy, Family, Adventure"/>
        <s v="Romance, Drama"/>
        <s v="Animation, Family"/>
        <s v="Mystery, Romance, Thriller, Drama"/>
        <s v="Adventure, Fantasy, Animation"/>
        <s v="Thriller, Drama"/>
        <s v="Fantasy, Animation, Adventure"/>
        <s v="Crime, Drama, Romance"/>
        <s v="Animation, Drama, Fantasy"/>
        <s v="Mystery, Crime, Thriller"/>
        <s v="Family, Animation, Music, Adventure"/>
        <s v="Action, Crime, Thriller"/>
        <s v="Comedy"/>
        <s v="Comedy, Music"/>
        <s v="Crime, Drama, History"/>
        <s v="Documentary, Adventure"/>
        <s v="Comedy, Drama, Romance, Music"/>
        <s v="Horror, Thriller"/>
        <s v="Family, Animation, Science Fiction, Adventure"/>
        <s v="Drama, War, Mystery"/>
        <s v="Drama, Romance, War, History"/>
        <s v="Romance, Drama, Fantasy"/>
        <s v="Science Fiction, Horror, Thriller"/>
        <s v="Animation, Comedy, Family"/>
        <s v="Horror, Thriller, Adventure"/>
        <s v="Family, Animation, Fantasy"/>
        <s v="Science Fiction, Drama, Thriller"/>
        <s v="Drama, Thriller, Mystery, Action"/>
        <s v="Animation, Comedy, Drama, Family"/>
        <s v="Adventure, Comedy, Family"/>
        <s v="Music, Comedy, Romance, Drama"/>
        <s v="Comedy, Crime, Drama"/>
        <s v="Romance, Science Fiction, Drama"/>
        <s v="Mystery, Thriller, Drama"/>
        <s v="Animation, Family, Adventure, Fantasy, Romance"/>
        <s v="Drama, Action, History"/>
        <s v="Science Fiction, Crime"/>
        <s v="Drama, Romance, Comedy"/>
        <s v="Action, Science Fiction, Adventure"/>
        <s v="Adventure, Fantasy, Horror"/>
        <s v="Animation, Adventure, Fantasy, Family, Drama"/>
        <s v="Fantasy, Adventure"/>
        <s v="Drama, Thriller, War"/>
        <s v="Adventure, Science Fiction, Action"/>
        <s v="Action, Adventure, Drama"/>
        <s v="Drama, Action, Thriller, Science Fiction"/>
        <s v="Science Fiction, Drama"/>
        <s v="Comedy, Science Fiction"/>
        <s v="Comedy, Horror, Drama"/>
        <s v="Animation, Drama, Comedy, Science Fiction"/>
        <s v="Action, Adventure, Animation, Family"/>
        <s v="Adventure, Action, Thriller"/>
        <s v="Drama, Horror, Science Fiction"/>
        <s v="Adventure, Family, Fantasy, Comedy, Romance"/>
        <s v="Horror, Mystery, Thriller"/>
        <s v="Animation, Comedy, Drama"/>
        <s v="War, Action, Drama"/>
        <s v="Crime, Drama, Action"/>
        <s v="Drama, Thriller, Horror"/>
        <s v="Thriller, Drama, Mystery"/>
        <s v="Drama, History, Mystery, Thriller"/>
        <s v="Crime, Thriller, Drama"/>
        <s v="Drama, Music, Comedy"/>
        <s v="War, History, Thriller, Drama"/>
        <s v="Adventure, Drama, Science Fiction"/>
        <s v="Action, Thriller"/>
        <s v="Drama, Thriller, Crime, Adventure"/>
        <s v="Action, Thriller, Drama"/>
        <s v="Music, Documentary"/>
        <s v="Comedy, Crime, Mystery"/>
        <s v="Fantasy, Drama, Mystery"/>
        <s v="Documentary, Animation"/>
        <s v="Western, Crime, Drama"/>
        <s v="Comedy, Drama, Fantasy"/>
        <s v="Drama, Animation, Romance, War, History"/>
        <s v="Romance, Drama, Music, Comedy"/>
        <s v="Mystery, Thriller, Horror"/>
        <s v="Animation, Family, Comedy, Fantasy"/>
        <s v="Western, Drama"/>
        <s v="Adventure, Animation, Comedy, Family"/>
        <s v="Science Fiction, Horror, Action"/>
        <s v="Horror, Fantasy"/>
        <s v="Drama, Fantasy, Comedy"/>
        <s v="Adventure, Comedy, Drama"/>
        <s v="Drama, Music, Romance"/>
        <s v="Animation, Comedy, Fantasy, Adventure, Family"/>
        <s v="Drama, Comedy, Romance"/>
        <s v="Drama, Adventure, Action, History"/>
        <s v="Horror, Drama"/>
        <s v="Drama, Comedy"/>
        <s v="Fantasy, Animation, Comedy, Crime"/>
        <s v="Animation, Fantasy, Family"/>
        <s v="History, Drama, Mystery"/>
        <s v="Crime, Mystery, Thriller"/>
        <s v="Action, Drama, Mystery, Thriller"/>
        <s v="Thriller, Mystery, Crime"/>
        <s v="Drama, Fantasy, Family"/>
        <s v="Romance, Comedy, Drama"/>
        <s v="Action, Science Fiction"/>
        <s v="Romance, Drama, History"/>
        <s v="Action, Drama, War"/>
        <s v="Adventure, Fantasy"/>
        <s v="Horror, Comedy"/>
        <s v="Horror"/>
        <s v="Drama, Thriller, Comedy"/>
        <s v="Science Fiction, Thriller, Drama"/>
        <s v="Drama, Horror"/>
        <s v="Science Fiction, Romance, Comedy"/>
        <s v="Romance, Music, Drama"/>
        <s v="Adventure, Science Fiction"/>
        <s v="Action, Adventure"/>
        <s v="Adventure, Drama, Action"/>
        <s v="Drama, Adventure, Science Fiction"/>
        <s v="Thriller, Horror, Drama"/>
        <s v="Adventure, Comedy, Animation"/>
        <s v="Science Fiction, Adventure, Family, Fantasy"/>
        <s v="Fantasy, Adventure, Animation, Family"/>
        <s v="Thriller, Horror, Science Fiction"/>
        <s v="Crime, Action, Comedy"/>
        <s v="Animation, Fantasy, Drama, Adventure, Family, Music"/>
        <s v="Comedy, Adventure, Action"/>
        <s v="Documentary, Music"/>
        <s v="War, History, Drama"/>
        <s v="Comedy, Drama, Romance, Family"/>
        <s v="Drama, Mystery"/>
        <s v="Comedy, Fantasy, Adventure"/>
        <s v="Action, Drama, Thriller"/>
        <s v="Action, Adventure, Thriller"/>
        <s v="Comedy, Horror"/>
        <s v="Mystery, Drama, Thriller"/>
        <s v="Crime, Drama, Comedy"/>
        <s v="Drama, History, Crime"/>
        <s v="Crime, Comedy, Drama, History"/>
        <s v="Thriller, Action, Crime"/>
        <s v="Action, Crime"/>
        <s v="Thriller, Drama, Horror"/>
        <s v="Thriller, Mystery, Romance"/>
        <s v="Thriller, Mystery, Crime, Drama"/>
        <s v="Drama, Fantasy"/>
        <s v="Animation, Drama, Adventure, Fantasy"/>
        <s v="Music, Drama, Romance"/>
        <s v="Comedy, Drama, History"/>
        <s v="War, Drama, Thriller"/>
        <s v="Mystery, Horror, Romance"/>
      </sharedItems>
    </cacheField>
    <cacheField name="Director" numFmtId="0">
      <sharedItems count="283">
        <s v="Francis Ford Coppola"/>
        <s v="Akira Kurosawa"/>
        <s v="Sidney Lumet"/>
        <s v="Steven Spielberg"/>
        <s v="Alfred Hitchcock"/>
        <s v="Quentin Tarantino"/>
        <s v="Charlie Chaplin"/>
        <s v="Hayao Miyazaki"/>
        <s v="Bong Joon Ho"/>
        <s v="Martin Scorsese"/>
        <s v="Sergio Leone"/>
        <s v="Stanley Kubrick"/>
        <s v="Michael Curtiz"/>
        <s v="Gillo Pontecorvo"/>
        <s v="Stanley Donen, Gene Kelly"/>
        <s v="Billy Wilder"/>
        <s v="David Lean"/>
        <s v="Joseph L. Mankiewicz"/>
        <s v="Céline Sciamma"/>
        <s v="Asghar Farhadi"/>
        <s v="Paul Thomas Anderson"/>
        <s v="Peter Jackson"/>
        <s v="Orson Welles"/>
        <s v="Fritz Lang"/>
        <s v="Frank Capra"/>
        <s v="Miloš Forman"/>
        <s v="Irvin Kershner"/>
        <s v="Damien Chazelle"/>
        <s v="Vittorio De Sica"/>
        <s v="Guillermo del Toro"/>
        <s v="Carol Reed"/>
        <s v="George Lucas"/>
        <s v="Steve McQueen"/>
        <s v="Andrew Stanton"/>
        <s v="Ridley Scott"/>
        <s v="François Truffaut"/>
        <s v="Jonathan Demme"/>
        <s v="Robert Zemeckis"/>
        <s v="Roman Polanski"/>
        <s v="John Lasseter"/>
        <s v="Florian Henckel von Donnersmarck"/>
        <s v="William Wyler"/>
        <s v="Ernst Lubitsch"/>
        <s v="Ingmar Bergman"/>
        <s v="Spike Lee"/>
        <s v="Michel Gondry"/>
        <s v="Charles Laughton"/>
        <s v="Brad Bird"/>
        <s v="Celine Song"/>
        <s v="Terry Jones, Terry Gilliam"/>
        <s v="Curtis Hanson"/>
        <s v="Roger Allers, Rob Minkoff"/>
        <s v="Thomas Kail"/>
        <s v="Giuseppe Tornatore"/>
        <s v="Fernando Meirelles"/>
        <s v="Tomm Moore, Ross Stewart"/>
        <s v="Walter Salles"/>
        <s v="Gary Trousdale, Kirk Wise"/>
        <s v="Bob Persichetti, Peter Ramsey, Rodney Rothman"/>
        <s v="Federico Fellini"/>
        <s v="Kemp Powers, Justin K. Thompson, Joaquim Dos Santos"/>
        <s v="Chris Sanders"/>
        <s v="Victor Fleming"/>
        <s v="Sam Peckinpah"/>
        <s v="Wong Kar-wai"/>
        <s v="Lee Unkrich"/>
        <s v="Peter Weir"/>
        <s v="Joel Coen"/>
        <s v="Hirokazu Kore-eda"/>
        <s v="Joel Coen, Ethan Coen"/>
        <s v="James Cameron"/>
        <s v="Clyde Bruckman, Buster Keaton"/>
        <s v="Andrei Tarkovsky"/>
        <s v="Oliver Stone"/>
        <s v="Tom McCarthy"/>
        <s v="Makoto Shinkai"/>
        <s v="Henri-Georges Clouzot"/>
        <s v="Peter Bogdanovich"/>
        <s v="Raoul Peck"/>
        <s v="Joshua Oppenheimer"/>
        <s v="Robert Wiene"/>
        <s v="Christopher Nolan"/>
        <s v="Michael Cimino"/>
        <s v="Edward Yang"/>
        <s v="Park Chan-wook"/>
        <s v="Charlotte Wells"/>
        <s v="George Cukor"/>
        <s v="George Miller"/>
        <s v="Robert Mulligan"/>
        <s v="Ang Lee"/>
        <s v="Denis Villeneuve"/>
        <s v="Gints Zilbalodis"/>
        <s v="Ari Folman"/>
        <s v="Vincent Paronnaud, Marjane Satrapi"/>
        <s v="Morgan Neville"/>
        <s v="Pete Docter"/>
        <s v="Luca Guadagnino"/>
        <s v="Florian Zeller"/>
        <s v="Cristian Mungiu"/>
        <s v="Wes Anderson"/>
        <s v="John Frankenheimer"/>
        <s v="Danny Boyle"/>
        <s v="Elia Kazan"/>
        <s v="Woody Allen"/>
        <s v="Isao Takahata"/>
        <s v="Noah Baumbach"/>
        <s v="Clint Eastwood"/>
        <s v="John Huston"/>
        <s v="Ava DuVernay"/>
        <s v="Tom Hooper"/>
        <s v="Oliver Hirschbiegel"/>
        <s v="Julian Schnabel"/>
        <s v="Michael Haneke"/>
        <s v="David Lynch"/>
        <s v="William Friedkin"/>
        <s v="Mel Brooks"/>
        <s v="Richard Lester"/>
        <s v="Jimmy Chin, Elizabeth Chai Vasarhelyi"/>
        <s v="George A. Romero"/>
        <s v="David Fincher"/>
        <s v="Greta Gerwig"/>
        <s v="Richard Linklater"/>
        <s v="Kim Ki-duk"/>
        <s v="Colm Bairéad"/>
        <s v="Andrew Haigh"/>
        <s v="Don Siegel"/>
        <s v="Cameron Crowe"/>
        <s v="Tomm Moore"/>
        <s v="Barry Jenkins"/>
        <s v="Lenny Abrahamson"/>
        <s v="Howard Hawks"/>
        <s v="Pedro Almodóvar"/>
        <s v="Sylvain Chomet"/>
        <s v="Jacques Audiard"/>
        <s v="Paul King"/>
        <s v="George Roy Hill"/>
        <s v="Lewis Milestone"/>
        <s v="Brady Corbet"/>
        <s v="Spike Jonze"/>
        <s v="Juan José Campanella"/>
        <s v="Ron Clements, John Musker"/>
        <s v="James Mangold"/>
        <s v="Martin McDonagh"/>
        <s v="John Carpenter"/>
        <s v="Mike Nichols"/>
        <s v="Gus Van Sant"/>
        <s v="Georges Franju"/>
        <s v="Merian C. Cooper, Ernest B. Schoedsack"/>
        <s v="Alexander Payne"/>
        <s v="Ryan Coogler"/>
        <s v="David Yates"/>
        <s v="Kathryn Bigelow"/>
        <s v="Henry Selick"/>
        <s v="Anthony Russo, Joe Russo"/>
        <s v="S. S. Rajamouli"/>
        <s v="Ryūsuke Hamaguchi"/>
        <s v="Alfonso Cuarón"/>
        <s v="Bryan Singer"/>
        <s v="Thomas Vinterberg"/>
        <s v="Bill Roberts, Paul Satterfield, Wilfred Jackson, Ben Sharpsteen, James Algar, T. Hee, Hamilton Luske, Samuel Armstrong, Jim Handley, Norman Ferguson, David Hand, Ford Beebe Jr."/>
        <s v="Terry Gilliam"/>
        <s v="Shinichiro Ueda"/>
        <s v="Wim Wenders"/>
        <s v="Pablo Berger"/>
        <s v="Rob Reiner"/>
        <s v="Guy Hamilton"/>
        <s v="Kenneth Lonergan"/>
        <s v="James Whale"/>
        <s v="James Marsh"/>
        <s v="Sam Mendes"/>
        <s v="Dario Argento"/>
        <s v="Adam Elliot"/>
        <s v="Michael Mann"/>
        <s v="Joe Wright"/>
        <s v="Nadine Labaki"/>
        <s v="Sofia Coppola"/>
        <s v="Alan J. Pakula"/>
        <s v="Alejandro González Iñárritu"/>
        <s v="Jacques Demy"/>
        <s v="Fabián Bielinsky"/>
        <s v="Robert Altman"/>
        <s v="John McTiernan"/>
        <s v="Nuri Bilge Ceylan"/>
        <s v="Andrew Davis"/>
        <s v="Malik Bendjelloul"/>
        <s v="Rian Johnson"/>
        <s v="Richard Kelly"/>
        <s v="Lee Isaac Chung"/>
        <s v="Laura Poitras"/>
        <s v="Jonas Poher Rasmussen"/>
        <s v="David Mackenzie"/>
        <s v="Seth Gordon"/>
        <s v="Terry Jones"/>
        <s v="Arthur Penn"/>
        <s v="John Carney"/>
        <s v="Terry George"/>
        <s v="Sean Baker"/>
        <s v="Francis Lee"/>
        <s v="Jordan Peele"/>
        <s v="Jean-Pierre Jeunet"/>
        <s v="Lulu Wang"/>
        <s v="Fred Zinnemann"/>
        <s v="Anna Muylaert"/>
        <s v="Takashi Yamazaki"/>
        <s v="F. W. Murnau"/>
        <s v="Alice Rohrwacher"/>
        <s v="Joachim Trier"/>
        <s v="Todd Haynes"/>
        <s v="Taika Waititi"/>
        <s v="Andrew Adamson, Vicky Jenson"/>
        <s v="Darren Aronofsky"/>
        <s v="Michel Hazanavicius"/>
        <s v="Zhang Yimou"/>
        <s v="Banksy"/>
        <s v="Tomas Alfredson"/>
        <s v="Lukas Dhont"/>
        <s v="Jonathan Dayton, Valerie Faris"/>
        <s v="Robert Redford"/>
        <s v="David Hand, Ben Sharpsteen, William Cottrell, Larry Morey, Perce Pearce, Wilfred Jackson"/>
        <s v="Paul Greengrass"/>
        <s v="Shane Meadows"/>
        <s v="Destin Daniel Cretton"/>
        <s v="Martin Campbell"/>
        <s v="Justine Triet"/>
        <s v="Lana Wachowski, Lilly Wachowski"/>
        <s v="John Crowley"/>
        <s v="Edgar Wright"/>
        <s v="Damián Szifron"/>
        <s v="Tod Browning"/>
        <s v="Deniz Gamze Ergüven"/>
        <s v="Daniel Scheinert, Daniel Kwan"/>
        <s v="Yorgos Lanthimos"/>
        <s v="Paweł Pawlikowski"/>
        <s v="Christopher McQuarrie"/>
        <s v="Darius Marder"/>
        <s v="Jean-Marc Vallée"/>
        <s v="Michael Powell"/>
        <s v="Hamilton Luske, Ben Sharpsteen, Jack Kinney, Bill Roberts, T. Hee, Norman Ferguson, Wilfred Jackson"/>
        <s v="Chris Sanders, Dean DeBlois"/>
        <s v="Ishirō Honda"/>
        <s v="Tobe Hooper"/>
        <s v="Mark Gustafson, Guillermo del Toro"/>
        <s v="Jean-Luc Godard"/>
        <s v="Mike Cheslik"/>
        <s v="Matthew Warchus"/>
        <s v="Robert Benton"/>
        <s v="Gabriela Cowperthwaite"/>
        <s v="Asif Kapadia"/>
        <s v="Luis Buñuel"/>
        <s v="Edward Berger"/>
        <s v="Ritesh Batra"/>
        <s v="Vincente Minnelli"/>
        <s v="Otto Preminger"/>
        <s v="Bennett Miller"/>
        <s v="John Schlesinger"/>
        <s v="Robin Hardy"/>
        <s v="Taika Waititi, Jemaine Clement"/>
        <s v="Lee Chang-dong"/>
        <s v="Paolo Sorrentino"/>
        <s v="Shari Springer Berman, Robert Pulcini"/>
        <s v="Rodrigo Sorogoyen"/>
        <s v="Santiago Mitre"/>
        <s v="Nora Twomey, Tomm Moore"/>
        <s v="Robert Wise, Jerome Robbins"/>
        <s v="Nicolas Roeg"/>
        <s v="Trần Anh Hùng"/>
        <s v="Shaka King"/>
        <s v="J.A. Bayona"/>
        <s v="Sara Dosa"/>
        <s v="Alex Garland"/>
        <s v="Brian De Palma"/>
        <s v="Nicolas Winding Refn"/>
        <s v="Cord Jefferson"/>
        <s v="Sam Raimi"/>
        <s v="Bradley Cooper"/>
        <s v="Joseph Kosinski"/>
        <s v="David Cronenberg"/>
        <s v="Armando Iannucci"/>
        <s v="László Nemes"/>
        <s v="Jacques Tourneur"/>
        <s v="John G. Avildsen"/>
        <s v="Jim Jarmusch"/>
        <s v="Josh Safdie, Benny Safdie"/>
      </sharedItems>
    </cacheField>
    <cacheField name="Language" numFmtId="0">
      <sharedItems/>
    </cacheField>
    <cacheField name="Awards" numFmtId="0">
      <sharedItems/>
    </cacheField>
    <cacheField name="Production" numFmtId="0">
      <sharedItems count="124">
        <s v="Paramount Pictures"/>
        <s v="Columbia Pictures"/>
        <s v="Criterion Collection"/>
        <s v="Universal Pictures"/>
        <s v="Miramax Films"/>
        <s v="Twentieth Century Fox Home Entertainment"/>
        <s v="Walt Disney Pictures"/>
        <s v=""/>
        <s v="United Artists"/>
        <s v="Warner Bros."/>
        <s v="Sony Pictures"/>
        <s v="Warner Bros. Pictures"/>
        <s v="Rialto Pictures"/>
        <s v="MGM"/>
        <s v="20th Century Fox"/>
        <s v="Sony Pictures Classics"/>
        <s v="New Line Cinema"/>
        <s v="RKO Radio Pictures"/>
        <s v="Liberty Films"/>
        <s v="Turner Entertainment"/>
        <s v="Twentieth Century Fox"/>
        <s v="ENIC"/>
        <s v="Picturehouse"/>
        <s v="Zenith International Films"/>
        <s v="Orion Pictures Corporation"/>
        <s v="Focus Features"/>
        <s v="Buena Vista"/>
        <s v="Paramount Vantage"/>
        <s v="Janus Films"/>
        <s v="Disney/Pixar"/>
        <s v="Almi Cinema 5"/>
        <s v="Tokuma Shoten"/>
        <s v="Sony Pictures Home Entertainment"/>
        <s v="Cinerez"/>
        <s v="Loew's Inc."/>
        <s v="USA Films"/>
        <s v="20th Century Fox Film Corporat"/>
        <s v="American International Picture"/>
        <s v="United Artists Films"/>
        <s v="Kino International"/>
        <s v="Orion Pictures"/>
        <s v="Open Road Films"/>
        <s v="CJ Entertainment"/>
        <s v="Drafthouse Films"/>
        <s v="Newmarket Films"/>
        <s v="IFC Films"/>
        <s v="TriStar Pictures"/>
        <s v="Kino Lorber Inc."/>
        <s v="Universal International Pictur"/>
        <s v="IFC First Take"/>
        <s v="Fox Searchlight"/>
        <s v="The Weinstein Co."/>
        <s v="Warner Home Video"/>
        <s v="MGM/UA Classics"/>
        <s v="GKIDS"/>
        <s v="WARNER BROTHERS PICTURES"/>
        <s v="The Weinstein Company"/>
        <s v="Buena Vista Pictures"/>
        <s v="Miramax"/>
        <s v="Continental Distributing Inc."/>
        <s v="Warner Independent Pictures"/>
        <s v="Republic Pictures Home Video"/>
        <s v="DreamWorks SKG"/>
        <s v="MGM/United Artists"/>
        <s v="Tartan Films"/>
        <s v="Fox Searchlight Pictures"/>
        <s v="Paramount"/>
        <s v="Buena Vista Distribution Compa"/>
        <s v="Compass International Pictures"/>
        <s v="Embassy Pictures/Rialto Pictures"/>
        <s v="RKO Pictures"/>
        <s v="Summit Entertainment"/>
        <s v="Touchstone Pictures"/>
        <s v="Sony Pictures Releasing"/>
        <s v="Gramercy Pictures"/>
        <s v="Magnolia Pictures"/>
        <s v="Walt Disney Productions"/>
        <s v="MCA Universal Home Video"/>
        <s v="Universal Pictures Company"/>
        <s v="Drafthouse Recommends"/>
        <s v="Dream Works"/>
        <s v="Anchor Bay Entertainment"/>
        <s v="Royal Films International"/>
        <s v="Universal Focus"/>
        <s v="Lions Gate Films"/>
        <s v="Zeitgeist Films"/>
        <s v="Adopt Films"/>
        <s v="Newmarket Film Group"/>
        <s v="Radius-TWC"/>
        <s v="Warner Brothers/Seven Arts"/>
        <s v="Cinema Guild"/>
        <s v="Oscilloscope Laboratories"/>
        <s v="Film Arts Guild"/>
        <s v="Dreamworks"/>
        <s v="ITVS"/>
        <s v="Abarorama"/>
        <s v="Magnet/Magnolia Pictures"/>
        <s v="Buena Vista Internationa"/>
        <s v="Sony"/>
        <s v="Universal City Studios"/>
        <s v="CBS Films"/>
        <s v="Astor Pictures Corporation"/>
        <s v="RKO"/>
        <s v="Paramount/DWA"/>
        <s v="Rogue Pictures/Focus Features"/>
        <s v="Bryanston Pictures"/>
        <s v="United Film Distribution Compa"/>
        <s v="Strand Releasing"/>
        <s v="A24 Films"/>
        <s v="Miramax Zoe"/>
        <s v="Lionsgate"/>
        <s v="LionsGate Entertainment"/>
        <s v="Paladin Pictures"/>
        <s v="Paramount Studios"/>
        <s v="Fine Line Features"/>
        <s v="Turtle Releasing"/>
        <s v="Libra Films"/>
        <s v="The Cinema Guild"/>
        <s v="A24"/>
        <s v="Filmways Pictures"/>
        <s v="FilmDistrict"/>
        <s v="Fox"/>
        <s v="Music Box Films"/>
        <s v="Foremco"/>
      </sharedItems>
    </cacheField>
    <cacheField name="Flickmetrix_Score" numFmtId="1">
      <sharedItems containsSemiMixedTypes="0" containsString="0" containsNumber="1" containsInteger="1" minValue="80" maxValue="93"/>
    </cacheField>
    <cacheField name="IMDb_10" numFmtId="165">
      <sharedItems containsSemiMixedTypes="0" containsString="0" containsNumber="1" minValue="7.1" maxValue="9.1999999999999993"/>
    </cacheField>
    <cacheField name="IMDb_100" numFmtId="1">
      <sharedItems containsSemiMixedTypes="0" containsString="0" containsNumber="1" containsInteger="1" minValue="71" maxValue="92"/>
    </cacheField>
    <cacheField name="IMDb_Votes" numFmtId="1">
      <sharedItems containsSemiMixedTypes="0" containsString="0" containsNumber="1" containsInteger="1" minValue="11940" maxValue="2666368"/>
    </cacheField>
    <cacheField name="Metacritic" numFmtId="1">
      <sharedItems containsString="0" containsBlank="1" containsNumber="1" containsInteger="1" minValue="65" maxValue="100"/>
    </cacheField>
    <cacheField name="Critic_Rating_RT" numFmtId="1">
      <sharedItems containsSemiMixedTypes="0" containsString="0" containsNumber="1" containsInteger="1" minValue="72" maxValue="98"/>
    </cacheField>
    <cacheField name="Critic_Reviews" numFmtId="1">
      <sharedItems containsSemiMixedTypes="0" containsString="0" containsNumber="1" containsInteger="1" minValue="50" maxValue="342"/>
    </cacheField>
    <cacheField name="Audience_Rating" numFmtId="1">
      <sharedItems containsString="0" containsBlank="1" containsNumber="1" containsInteger="1" minValue="57" maxValue="95"/>
    </cacheField>
    <cacheField name="Audience_Reviews" numFmtId="1">
      <sharedItems containsString="0" containsBlank="1" containsNumber="1" containsInteger="1" minValue="17593" maxValue="24549197"/>
    </cacheField>
    <cacheField name="Letterboxd" numFmtId="1">
      <sharedItems containsSemiMixedTypes="0" containsString="0" containsNumber="1" containsInteger="1" minValue="68" maxValue="92"/>
    </cacheField>
    <cacheField name="Letterboxd_Votes" numFmtId="1">
      <sharedItems containsString="0" containsBlank="1" containsNumber="1" containsInteger="1" minValue="31535" maxValue="3771374"/>
    </cacheField>
    <cacheField name="Google_Score" numFmtId="1">
      <sharedItems containsString="0" containsBlank="1" containsNumber="1" containsInteger="1" minValue="46" maxValue="98"/>
    </cacheField>
    <cacheField name="Streaming_On" numFmtId="0">
      <sharedItems/>
    </cacheField>
    <cacheField name="Custom_Score" numFmtId="2">
      <sharedItems containsSemiMixedTypes="0" containsString="0" containsNumber="1" minValue="77" maxValue="93.83"/>
    </cacheField>
    <cacheField name="Gap_Score" numFmtId="1">
      <sharedItems containsSemiMixedTypes="0" containsString="0" containsNumber="1" containsInteger="1" minValue="-21" maxValue="92"/>
    </cacheField>
    <cacheField name="Decade" numFmtId="1">
      <sharedItems containsSemiMixedTypes="0" containsString="0" containsNumber="1" containsInteger="1" minValue="1920" maxValue="20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x v="0"/>
    <x v="0"/>
    <n v="1972"/>
    <x v="0"/>
    <x v="0"/>
    <s v="en"/>
    <s v="Won 3 Oscars. Another 30 wins &amp; 19 nominations."/>
    <x v="0"/>
    <n v="93"/>
    <n v="9.1999999999999993"/>
    <n v="92"/>
    <n v="2108796"/>
    <n v="100"/>
    <n v="96"/>
    <n v="104"/>
    <n v="95"/>
    <n v="1087289"/>
    <n v="90"/>
    <n v="1789555"/>
    <n v="90"/>
    <s v="paramount, itunes, amzvid"/>
    <n v="93.83"/>
    <n v="1"/>
    <n v="1970"/>
  </r>
  <r>
    <x v="1"/>
    <x v="1"/>
    <n v="1954"/>
    <x v="1"/>
    <x v="1"/>
    <s v="ja"/>
    <s v="Nominated for 2 Oscars. Another 6 wins &amp; 5 nominations."/>
    <x v="1"/>
    <n v="93"/>
    <n v="8.6"/>
    <n v="86"/>
    <n v="381712"/>
    <n v="98"/>
    <n v="97"/>
    <n v="68"/>
    <n v="94"/>
    <n v="167123"/>
    <n v="92"/>
    <n v="318537"/>
    <n v="93"/>
    <s v="hbo, itunes, amzvid, hbm"/>
    <n v="93.33"/>
    <n v="3"/>
    <n v="1950"/>
  </r>
  <r>
    <x v="2"/>
    <x v="2"/>
    <n v="1957"/>
    <x v="2"/>
    <x v="2"/>
    <s v="en"/>
    <s v="Nominated for 3 Oscars. Another 16 wins &amp; 8 nominations."/>
    <x v="2"/>
    <n v="92"/>
    <n v="9"/>
    <n v="90"/>
    <n v="917215"/>
    <n v="97"/>
    <n v="93"/>
    <n v="58"/>
    <n v="94"/>
    <n v="376697"/>
    <n v="92"/>
    <n v="917590"/>
    <n v="91"/>
    <s v="itunes, amzvid"/>
    <n v="92.83"/>
    <n v="-1"/>
    <n v="1950"/>
  </r>
  <r>
    <x v="3"/>
    <x v="3"/>
    <n v="1993"/>
    <x v="3"/>
    <x v="3"/>
    <s v="en"/>
    <s v="Won 7 Oscars. Another 74 wins &amp; 26 nominations."/>
    <x v="3"/>
    <n v="92"/>
    <n v="9"/>
    <n v="90"/>
    <n v="1512905"/>
    <n v="95"/>
    <n v="93"/>
    <n v="82"/>
    <n v="94"/>
    <n v="601555"/>
    <n v="90"/>
    <n v="978054"/>
    <n v="93"/>
    <s v="itunes, amzvid"/>
    <n v="92.5"/>
    <n v="-1"/>
    <n v="1990"/>
  </r>
  <r>
    <x v="4"/>
    <x v="4"/>
    <n v="1974"/>
    <x v="0"/>
    <x v="0"/>
    <s v="en"/>
    <s v="Won 6 Oscars. Another 13 wins &amp; 16 nominations."/>
    <x v="0"/>
    <n v="92"/>
    <n v="9"/>
    <n v="90"/>
    <n v="1420179"/>
    <n v="90"/>
    <n v="95"/>
    <n v="80"/>
    <n v="94"/>
    <n v="586600"/>
    <n v="92"/>
    <n v="934120"/>
    <n v="89"/>
    <s v="paramount, itunes, amzvid"/>
    <n v="91.67"/>
    <n v="1"/>
    <n v="1970"/>
  </r>
  <r>
    <x v="5"/>
    <x v="5"/>
    <n v="1954"/>
    <x v="4"/>
    <x v="4"/>
    <s v="en"/>
    <s v="Nominated for 4 Oscars. Another 7 wins &amp; 7 nominations."/>
    <x v="0"/>
    <n v="91"/>
    <n v="8.5"/>
    <n v="85"/>
    <n v="542959"/>
    <n v="100"/>
    <n v="95"/>
    <n v="94"/>
    <n v="92"/>
    <n v="303476"/>
    <n v="88"/>
    <n v="607614"/>
    <n v="90"/>
    <s v="itunes, amzvid"/>
    <n v="91.67"/>
    <n v="3"/>
    <n v="1950"/>
  </r>
  <r>
    <x v="6"/>
    <x v="6"/>
    <n v="1994"/>
    <x v="5"/>
    <x v="5"/>
    <s v="en"/>
    <s v="Won 1 Oscar. Another 63 wins &amp; 47 nominations."/>
    <x v="4"/>
    <n v="91"/>
    <n v="8.9"/>
    <n v="89"/>
    <n v="2319136"/>
    <n v="95"/>
    <n v="94"/>
    <n v="132"/>
    <n v="93"/>
    <n v="1731042"/>
    <n v="86"/>
    <n v="2931535"/>
    <n v="92"/>
    <s v="paramount, peacock, itunes, amzvid, hbm"/>
    <n v="91.5"/>
    <n v="1"/>
    <n v="1990"/>
  </r>
  <r>
    <x v="7"/>
    <x v="7"/>
    <n v="1931"/>
    <x v="6"/>
    <x v="6"/>
    <s v="en"/>
    <s v="3 wins."/>
    <x v="5"/>
    <n v="91"/>
    <n v="8.5"/>
    <n v="85"/>
    <n v="205619"/>
    <n v="99"/>
    <n v="94"/>
    <n v="52"/>
    <n v="92"/>
    <n v="66173"/>
    <n v="86"/>
    <n v="144013"/>
    <n v="92"/>
    <s v="itunes, amzvid, hbm"/>
    <n v="91.33"/>
    <n v="2"/>
    <n v="1930"/>
  </r>
  <r>
    <x v="8"/>
    <x v="8"/>
    <n v="2001"/>
    <x v="7"/>
    <x v="7"/>
    <s v="ja"/>
    <s v="Won 1 Oscar. Another 51 wins &amp; 22 nominations."/>
    <x v="6"/>
    <n v="90"/>
    <n v="8.6"/>
    <n v="86"/>
    <n v="901217"/>
    <n v="96"/>
    <n v="89"/>
    <n v="134"/>
    <n v="93"/>
    <n v="1052053"/>
    <n v="88"/>
    <n v="2478980"/>
    <n v="95"/>
    <s v="itunes, amzvid, hbm"/>
    <n v="91.17"/>
    <n v="-4"/>
    <n v="2000"/>
  </r>
  <r>
    <x v="9"/>
    <x v="9"/>
    <n v="2019"/>
    <x v="8"/>
    <x v="8"/>
    <s v="ko"/>
    <s v=""/>
    <x v="7"/>
    <n v="91"/>
    <n v="8.5"/>
    <n v="85"/>
    <n v="1050592"/>
    <n v="97"/>
    <n v="95"/>
    <n v="314"/>
    <n v="88"/>
    <n v="1273882"/>
    <n v="90"/>
    <n v="3771374"/>
    <n v="90"/>
    <s v="itunes, amzvid"/>
    <n v="90.83"/>
    <n v="7"/>
    <n v="2010"/>
  </r>
  <r>
    <x v="10"/>
    <x v="10"/>
    <n v="1936"/>
    <x v="6"/>
    <x v="6"/>
    <s v="en"/>
    <s v="3 wins &amp; 1 nomination."/>
    <x v="8"/>
    <n v="90"/>
    <n v="8.5"/>
    <n v="85"/>
    <n v="271086"/>
    <n v="96"/>
    <n v="95"/>
    <n v="72"/>
    <n v="92"/>
    <n v="97048"/>
    <n v="86"/>
    <n v="210247"/>
    <n v="90"/>
    <s v="prime, itunes, amzvid, hbm"/>
    <n v="90.67"/>
    <n v="3"/>
    <n v="1930"/>
  </r>
  <r>
    <x v="11"/>
    <x v="11"/>
    <n v="1990"/>
    <x v="0"/>
    <x v="9"/>
    <s v="en"/>
    <s v="Won 1 Oscar. Another 42 wins &amp; 24 nominations."/>
    <x v="9"/>
    <n v="90"/>
    <n v="8.6999999999999993"/>
    <n v="87"/>
    <n v="1315490"/>
    <n v="92"/>
    <n v="91"/>
    <n v="95"/>
    <n v="94"/>
    <n v="766130"/>
    <n v="90"/>
    <n v="1435501"/>
    <n v="89"/>
    <s v="prime, itunes, amzvid, hbm"/>
    <n v="90.5"/>
    <n v="-3"/>
    <n v="1990"/>
  </r>
  <r>
    <x v="12"/>
    <x v="12"/>
    <n v="1966"/>
    <x v="9"/>
    <x v="10"/>
    <s v="it"/>
    <s v="1 win."/>
    <x v="8"/>
    <n v="89"/>
    <n v="8.8000000000000007"/>
    <n v="88"/>
    <n v="847249"/>
    <n v="90"/>
    <n v="89"/>
    <n v="58"/>
    <n v="94"/>
    <n v="328668"/>
    <n v="90"/>
    <n v="504912"/>
    <n v="91"/>
    <s v="itunes, amzvid"/>
    <n v="90.33"/>
    <n v="-5"/>
    <n v="1960"/>
  </r>
  <r>
    <x v="13"/>
    <x v="13"/>
    <n v="1964"/>
    <x v="10"/>
    <x v="11"/>
    <s v="en"/>
    <s v="Nominated for 4 Oscars. Another 15 wins &amp; 4 nominations."/>
    <x v="10"/>
    <n v="90"/>
    <n v="8.3000000000000007"/>
    <n v="83"/>
    <n v="535648"/>
    <n v="97"/>
    <n v="93"/>
    <n v="87"/>
    <n v="90"/>
    <n v="298335"/>
    <n v="86"/>
    <n v="475057"/>
    <n v="92"/>
    <s v="itunes, amzvid"/>
    <n v="90.17"/>
    <n v="3"/>
    <n v="1960"/>
  </r>
  <r>
    <x v="14"/>
    <x v="14"/>
    <n v="1942"/>
    <x v="11"/>
    <x v="12"/>
    <s v="en"/>
    <s v="Won 3 Oscars. Another 6 wins &amp; 6 nominations."/>
    <x v="11"/>
    <n v="90"/>
    <n v="8.5"/>
    <n v="85"/>
    <n v="628003"/>
    <n v="100"/>
    <n v="96"/>
    <n v="96"/>
    <n v="91"/>
    <n v="429846"/>
    <n v="86"/>
    <n v="572792"/>
    <n v="83"/>
    <s v="hbo, itunes, amzvid, hbm"/>
    <n v="90.17"/>
    <n v="5"/>
    <n v="1940"/>
  </r>
  <r>
    <x v="15"/>
    <x v="15"/>
    <n v="1966"/>
    <x v="12"/>
    <x v="13"/>
    <s v="it"/>
    <s v="Nominated for 3 Oscars. Another 11 wins &amp; 3 nominations."/>
    <x v="12"/>
    <n v="90"/>
    <n v="8.1"/>
    <n v="81"/>
    <n v="70309"/>
    <n v="96"/>
    <n v="92"/>
    <n v="67"/>
    <n v="91"/>
    <n v="37316"/>
    <n v="88"/>
    <n v="82844"/>
    <n v="92"/>
    <s v="itunes, amzvid, hbm"/>
    <n v="90"/>
    <n v="1"/>
    <n v="1960"/>
  </r>
  <r>
    <x v="16"/>
    <x v="16"/>
    <n v="1952"/>
    <x v="13"/>
    <x v="14"/>
    <s v="en"/>
    <s v="Nominated for 2 Oscars. Another 5 wins &amp; 7 nominations."/>
    <x v="13"/>
    <n v="90"/>
    <n v="8.3000000000000007"/>
    <n v="83"/>
    <n v="270897"/>
    <n v="99"/>
    <n v="95"/>
    <n v="62"/>
    <n v="91"/>
    <n v="242729"/>
    <n v="86"/>
    <n v="450117"/>
    <n v="86"/>
    <s v="hbo, itunes, amzvid, hbm"/>
    <n v="90"/>
    <n v="4"/>
    <n v="1950"/>
  </r>
  <r>
    <x v="17"/>
    <x v="17"/>
    <n v="1959"/>
    <x v="14"/>
    <x v="15"/>
    <s v="en"/>
    <s v="Won 1 Oscar. Another 9 wins &amp; 13 nominations."/>
    <x v="8"/>
    <n v="89"/>
    <n v="8.1999999999999993"/>
    <n v="82"/>
    <n v="293363"/>
    <n v="98"/>
    <n v="93"/>
    <n v="77"/>
    <n v="90"/>
    <n v="143114"/>
    <n v="86"/>
    <n v="264180"/>
    <n v="90"/>
    <s v="prime, itunes, amzvid"/>
    <n v="89.83"/>
    <n v="3"/>
    <n v="1950"/>
  </r>
  <r>
    <x v="18"/>
    <x v="18"/>
    <n v="1960"/>
    <x v="15"/>
    <x v="4"/>
    <s v="en"/>
    <s v="Nominated for 4 Oscars. Another 7 wins &amp; 5 nominations."/>
    <x v="0"/>
    <n v="89"/>
    <n v="8.5"/>
    <n v="85"/>
    <n v="748078"/>
    <n v="97"/>
    <n v="94"/>
    <n v="97"/>
    <n v="92"/>
    <n v="491167"/>
    <n v="86"/>
    <n v="991319"/>
    <n v="85"/>
    <s v="itunes, amzvid"/>
    <n v="89.83"/>
    <n v="2"/>
    <n v="1960"/>
  </r>
  <r>
    <x v="19"/>
    <x v="19"/>
    <n v="1979"/>
    <x v="16"/>
    <x v="0"/>
    <s v="en"/>
    <s v="Won 2 Oscars. Another 20 wins &amp; 30 nominations."/>
    <x v="8"/>
    <n v="89"/>
    <n v="8.4"/>
    <n v="84"/>
    <n v="737539"/>
    <n v="94"/>
    <n v="92"/>
    <n v="117"/>
    <n v="91"/>
    <n v="429279"/>
    <n v="88"/>
    <n v="714063"/>
    <n v="89"/>
    <s v="itunes, amzvid"/>
    <n v="89.67"/>
    <n v="1"/>
    <n v="1970"/>
  </r>
  <r>
    <x v="20"/>
    <x v="20"/>
    <n v="1944"/>
    <x v="17"/>
    <x v="15"/>
    <s v="en"/>
    <s v="Nominated for 7 Oscars. Another 2 wins &amp; 2 nominations."/>
    <x v="0"/>
    <n v="89"/>
    <n v="8.3000000000000007"/>
    <n v="83"/>
    <n v="173790"/>
    <n v="95"/>
    <n v="93"/>
    <n v="72"/>
    <n v="91"/>
    <n v="79935"/>
    <n v="86"/>
    <n v="167927"/>
    <n v="89"/>
    <s v="prime, itunes, amzvid"/>
    <n v="89.5"/>
    <n v="2"/>
    <n v="1940"/>
  </r>
  <r>
    <x v="21"/>
    <x v="21"/>
    <n v="1950"/>
    <x v="18"/>
    <x v="1"/>
    <s v="ja"/>
    <s v=""/>
    <x v="7"/>
    <n v="89"/>
    <n v="8.1999999999999993"/>
    <n v="82"/>
    <n v="188349"/>
    <n v="98"/>
    <n v="94"/>
    <n v="52"/>
    <n v="90"/>
    <n v="105423"/>
    <n v="84"/>
    <n v="219549"/>
    <n v="88"/>
    <s v="itunes, amzvid, hbm"/>
    <n v="89.33"/>
    <n v="4"/>
    <n v="1950"/>
  </r>
  <r>
    <x v="22"/>
    <x v="22"/>
    <n v="1962"/>
    <x v="19"/>
    <x v="16"/>
    <s v="en"/>
    <s v="Won 7 Oscars. Another 22 wins &amp; 15 nominations."/>
    <x v="1"/>
    <n v="89"/>
    <n v="8.3000000000000007"/>
    <n v="83"/>
    <n v="327276"/>
    <n v="100"/>
    <n v="96"/>
    <n v="82"/>
    <n v="89"/>
    <n v="129761"/>
    <n v="88"/>
    <n v="238330"/>
    <n v="80"/>
    <s v="itunes, amzvid"/>
    <n v="89.33"/>
    <n v="7"/>
    <n v="1960"/>
  </r>
  <r>
    <x v="23"/>
    <x v="23"/>
    <n v="1950"/>
    <x v="2"/>
    <x v="17"/>
    <s v="en"/>
    <s v="Won 6 Oscars. Another 16 wins &amp; 17 nominations."/>
    <x v="14"/>
    <n v="89"/>
    <n v="8.1999999999999993"/>
    <n v="82"/>
    <n v="143727"/>
    <n v="98"/>
    <n v="95"/>
    <n v="73"/>
    <n v="90"/>
    <n v="66740"/>
    <n v="88"/>
    <n v="109394"/>
    <n v="83"/>
    <s v="itunes, amzvid"/>
    <n v="89.33"/>
    <n v="5"/>
    <n v="1950"/>
  </r>
  <r>
    <x v="24"/>
    <x v="24"/>
    <n v="2019"/>
    <x v="20"/>
    <x v="18"/>
    <s v="fr"/>
    <s v=""/>
    <x v="7"/>
    <n v="89"/>
    <n v="8.1"/>
    <n v="81"/>
    <n v="117917"/>
    <n v="95"/>
    <n v="91"/>
    <n v="197"/>
    <n v="89"/>
    <n v="275015"/>
    <n v="88"/>
    <n v="819613"/>
    <n v="91"/>
    <s v="itunes"/>
    <n v="89.17"/>
    <n v="2"/>
    <n v="2010"/>
  </r>
  <r>
    <x v="25"/>
    <x v="25"/>
    <n v="2011"/>
    <x v="2"/>
    <x v="19"/>
    <s v="fa"/>
    <s v="Won 1 Oscar. Another 84 wins &amp; 30 nominations."/>
    <x v="15"/>
    <n v="89"/>
    <n v="8.3000000000000007"/>
    <n v="83"/>
    <n v="267944"/>
    <n v="95"/>
    <n v="91"/>
    <n v="117"/>
    <n v="88"/>
    <n v="62517"/>
    <n v="88"/>
    <n v="141543"/>
    <n v="89"/>
    <s v="itunes, amzvid"/>
    <n v="89"/>
    <n v="3"/>
    <n v="2010"/>
  </r>
  <r>
    <x v="26"/>
    <x v="26"/>
    <n v="2025"/>
    <x v="21"/>
    <x v="20"/>
    <s v="en"/>
    <s v=""/>
    <x v="7"/>
    <n v="89"/>
    <n v="8.1999999999999993"/>
    <n v="82"/>
    <n v="115333"/>
    <n v="95"/>
    <n v="91"/>
    <n v="211"/>
    <m/>
    <m/>
    <n v="88"/>
    <m/>
    <m/>
    <s v=""/>
    <n v="89"/>
    <n v="91"/>
    <n v="2020"/>
  </r>
  <r>
    <x v="27"/>
    <x v="27"/>
    <n v="2003"/>
    <x v="22"/>
    <x v="21"/>
    <s v="en"/>
    <s v="Won 11 Oscars. Another 164 wins &amp; 87 nominations."/>
    <x v="16"/>
    <n v="89"/>
    <n v="9"/>
    <n v="90"/>
    <n v="2064721"/>
    <n v="94"/>
    <n v="89"/>
    <n v="172"/>
    <n v="85"/>
    <n v="23617405"/>
    <n v="90"/>
    <n v="1492669"/>
    <n v="85"/>
    <s v="hbo, itunes, amzvid, hbm"/>
    <n v="88.83"/>
    <n v="4"/>
    <n v="2000"/>
  </r>
  <r>
    <x v="28"/>
    <x v="28"/>
    <n v="1941"/>
    <x v="23"/>
    <x v="22"/>
    <s v="en"/>
    <s v="Won 1 Oscar. Another 8 wins &amp; 10 nominations."/>
    <x v="17"/>
    <n v="89"/>
    <n v="8.3000000000000007"/>
    <n v="83"/>
    <n v="478970"/>
    <n v="100"/>
    <n v="98"/>
    <n v="96"/>
    <n v="87"/>
    <n v="273099"/>
    <n v="84"/>
    <n v="499118"/>
    <n v="81"/>
    <s v="itunes, amzvid, hbm"/>
    <n v="88.83"/>
    <n v="11"/>
    <n v="1940"/>
  </r>
  <r>
    <x v="29"/>
    <x v="29"/>
    <n v="1927"/>
    <x v="24"/>
    <x v="23"/>
    <s v="de"/>
    <s v="3 wins &amp; 4 nominations."/>
    <x v="0"/>
    <n v="88"/>
    <n v="8.3000000000000007"/>
    <n v="83"/>
    <n v="193052"/>
    <n v="98"/>
    <n v="93"/>
    <n v="99"/>
    <n v="89"/>
    <n v="108894"/>
    <n v="86"/>
    <n v="200533"/>
    <n v="84"/>
    <s v="itunes, amzvid"/>
    <n v="88.83"/>
    <n v="4"/>
    <n v="1920"/>
  </r>
  <r>
    <x v="30"/>
    <x v="30"/>
    <n v="1946"/>
    <x v="25"/>
    <x v="24"/>
    <s v="en"/>
    <s v="Nominated for 5 Oscars. Another 7 wins."/>
    <x v="18"/>
    <n v="88"/>
    <n v="8.6"/>
    <n v="86"/>
    <n v="524890"/>
    <n v="89"/>
    <n v="90"/>
    <n v="75"/>
    <n v="92"/>
    <n v="320749"/>
    <n v="88"/>
    <n v="522501"/>
    <n v="88"/>
    <s v="prime, itunes, amzvid"/>
    <n v="88.83"/>
    <n v="-2"/>
    <n v="1940"/>
  </r>
  <r>
    <x v="31"/>
    <x v="31"/>
    <n v="1950"/>
    <x v="2"/>
    <x v="15"/>
    <s v="en"/>
    <s v="Won 3 Oscars. Another 19 wins &amp; 14 nominations."/>
    <x v="0"/>
    <n v="88"/>
    <n v="8.4"/>
    <n v="84"/>
    <n v="247384"/>
    <n v="94"/>
    <n v="95"/>
    <n v="89"/>
    <n v="92"/>
    <n v="123301"/>
    <n v="88"/>
    <n v="262498"/>
    <n v="80"/>
    <s v="itunes, amzvid"/>
    <n v="88.83"/>
    <n v="3"/>
    <n v="1950"/>
  </r>
  <r>
    <x v="32"/>
    <x v="32"/>
    <n v="2001"/>
    <x v="22"/>
    <x v="21"/>
    <s v="en"/>
    <s v="Won 4 Oscars. Another 110 wins &amp; 100 nominations."/>
    <x v="16"/>
    <n v="87"/>
    <n v="8.9"/>
    <n v="89"/>
    <n v="2094033"/>
    <n v="92"/>
    <n v="85"/>
    <n v="142"/>
    <n v="92"/>
    <n v="1546965"/>
    <n v="88"/>
    <n v="1929394"/>
    <n v="86"/>
    <s v="hbo, itunes, amzvid, hbm"/>
    <n v="88.67"/>
    <n v="-7"/>
    <n v="2000"/>
  </r>
  <r>
    <x v="33"/>
    <x v="33"/>
    <n v="1959"/>
    <x v="26"/>
    <x v="4"/>
    <s v="en"/>
    <s v="Nominated for 3 Oscars. Another 8 wins &amp; 4 nominations."/>
    <x v="19"/>
    <n v="88"/>
    <n v="8.3000000000000007"/>
    <n v="83"/>
    <n v="358883"/>
    <n v="98"/>
    <n v="94"/>
    <n v="90"/>
    <n v="90"/>
    <n v="142001"/>
    <n v="84"/>
    <n v="265857"/>
    <n v="83"/>
    <s v="itunes, amzvid, hbm"/>
    <n v="88.67"/>
    <n v="4"/>
    <n v="1950"/>
  </r>
  <r>
    <x v="34"/>
    <x v="34"/>
    <n v="1960"/>
    <x v="6"/>
    <x v="15"/>
    <s v="en"/>
    <s v="Won 5 Oscars. Another 19 wins &amp; 8 nominations."/>
    <x v="8"/>
    <n v="88"/>
    <n v="8.3000000000000007"/>
    <n v="83"/>
    <n v="207527"/>
    <n v="94"/>
    <n v="90"/>
    <n v="93"/>
    <n v="91"/>
    <n v="109780"/>
    <n v="88"/>
    <n v="252510"/>
    <n v="86"/>
    <s v="itunes, amzvid"/>
    <n v="88.67"/>
    <n v="-1"/>
    <n v="1960"/>
  </r>
  <r>
    <x v="35"/>
    <x v="35"/>
    <n v="1975"/>
    <x v="2"/>
    <x v="25"/>
    <s v="en"/>
    <s v="Won 5 Oscars. Another 31 wins &amp; 12 nominations."/>
    <x v="8"/>
    <n v="88"/>
    <n v="8.6999999999999993"/>
    <n v="87"/>
    <n v="1110492"/>
    <n v="84"/>
    <n v="89"/>
    <n v="91"/>
    <n v="93"/>
    <n v="421045"/>
    <n v="88"/>
    <n v="702258"/>
    <n v="91"/>
    <s v="itunes"/>
    <n v="88.67"/>
    <n v="-4"/>
    <n v="1970"/>
  </r>
  <r>
    <x v="36"/>
    <x v="36"/>
    <n v="1980"/>
    <x v="27"/>
    <x v="26"/>
    <s v="en"/>
    <s v="Won 1 Oscar. Another 15 wins &amp; 17 nominations."/>
    <x v="20"/>
    <n v="88"/>
    <n v="8.6999999999999993"/>
    <n v="87"/>
    <n v="1431491"/>
    <n v="82"/>
    <n v="88"/>
    <n v="81"/>
    <n v="93"/>
    <n v="1214408"/>
    <n v="88"/>
    <n v="1521674"/>
    <n v="94"/>
    <s v="disney, itunes, amzvid"/>
    <n v="88.67"/>
    <n v="-5"/>
    <n v="1980"/>
  </r>
  <r>
    <x v="37"/>
    <x v="37"/>
    <n v="2014"/>
    <x v="28"/>
    <x v="27"/>
    <s v="en"/>
    <s v="Won 3 Oscars. Another 87 wins &amp; 99 nominations."/>
    <x v="15"/>
    <n v="88"/>
    <n v="8.5"/>
    <n v="85"/>
    <n v="1063607"/>
    <n v="89"/>
    <n v="87"/>
    <n v="231"/>
    <n v="91"/>
    <n v="1025887"/>
    <n v="88"/>
    <n v="2932518"/>
    <n v="92"/>
    <s v="itunes, amzvid"/>
    <n v="88.67"/>
    <n v="-4"/>
    <n v="2010"/>
  </r>
  <r>
    <x v="38"/>
    <x v="38"/>
    <n v="1958"/>
    <x v="29"/>
    <x v="4"/>
    <s v="en"/>
    <s v="Nominated for 2 Oscars. Another 8 wins &amp; 3 nominations."/>
    <x v="0"/>
    <n v="88"/>
    <n v="8.3000000000000007"/>
    <n v="83"/>
    <n v="442662"/>
    <n v="100"/>
    <n v="92"/>
    <n v="78"/>
    <n v="90"/>
    <n v="267419"/>
    <n v="84"/>
    <n v="596103"/>
    <n v="83"/>
    <s v="itunes, amzvid"/>
    <n v="88.67"/>
    <n v="2"/>
    <n v="1950"/>
  </r>
  <r>
    <x v="39"/>
    <x v="39"/>
    <n v="1948"/>
    <x v="2"/>
    <x v="28"/>
    <s v="it"/>
    <s v="Nominated for 1 Oscar. Another 18 wins."/>
    <x v="21"/>
    <n v="87"/>
    <n v="8.1999999999999993"/>
    <n v="82"/>
    <n v="184016"/>
    <m/>
    <n v="93"/>
    <n v="58"/>
    <n v="91"/>
    <n v="93336"/>
    <n v="86"/>
    <n v="211270"/>
    <n v="91"/>
    <s v="itunes, amzvid, hbm"/>
    <n v="88.6"/>
    <n v="2"/>
    <n v="1940"/>
  </r>
  <r>
    <x v="40"/>
    <x v="40"/>
    <n v="1985"/>
    <x v="30"/>
    <x v="1"/>
    <s v="ja"/>
    <s v="Won 1 Oscar. Another 29 wins &amp; 18 nominations."/>
    <x v="12"/>
    <n v="88"/>
    <n v="8.1999999999999993"/>
    <n v="82"/>
    <n v="142429"/>
    <n v="97"/>
    <n v="92"/>
    <n v="73"/>
    <n v="91"/>
    <n v="80147"/>
    <n v="90"/>
    <n v="163420"/>
    <n v="79"/>
    <s v="itunes, amzvid"/>
    <n v="88.5"/>
    <n v="1"/>
    <n v="1980"/>
  </r>
  <r>
    <x v="41"/>
    <x v="41"/>
    <n v="2006"/>
    <x v="31"/>
    <x v="29"/>
    <s v="es"/>
    <s v="Won 3 Oscars. Another 103 wins &amp; 72 nominations."/>
    <x v="22"/>
    <n v="88"/>
    <n v="8.1999999999999993"/>
    <n v="82"/>
    <n v="721982"/>
    <n v="98"/>
    <n v="89"/>
    <n v="164"/>
    <n v="87"/>
    <n v="672087"/>
    <n v="84"/>
    <n v="741536"/>
    <n v="91"/>
    <s v="itunes, amzvid"/>
    <n v="88.5"/>
    <n v="2"/>
    <n v="2000"/>
  </r>
  <r>
    <x v="42"/>
    <x v="42"/>
    <n v="1949"/>
    <x v="4"/>
    <x v="30"/>
    <s v="en"/>
    <s v="Won 1 Oscar. Another 4 wins &amp; 4 nominations."/>
    <x v="12"/>
    <n v="88"/>
    <n v="8.1"/>
    <n v="81"/>
    <n v="188727"/>
    <n v="97"/>
    <n v="95"/>
    <n v="81"/>
    <n v="89"/>
    <n v="86513"/>
    <n v="86"/>
    <n v="151068"/>
    <n v="83"/>
    <s v="prime, itunes, amzvid"/>
    <n v="88.5"/>
    <n v="6"/>
    <n v="1940"/>
  </r>
  <r>
    <x v="43"/>
    <x v="43"/>
    <n v="1977"/>
    <x v="27"/>
    <x v="31"/>
    <s v="en"/>
    <s v="Won 6 Oscars. Another 38 wins &amp; 27 nominations."/>
    <x v="14"/>
    <n v="88"/>
    <n v="8.6"/>
    <n v="86"/>
    <n v="1498734"/>
    <n v="90"/>
    <n v="89"/>
    <n v="99"/>
    <n v="92"/>
    <n v="1163061"/>
    <n v="84"/>
    <n v="1758149"/>
    <n v="90"/>
    <s v="disney, itunes, amzvid"/>
    <n v="88.5"/>
    <n v="-3"/>
    <n v="1970"/>
  </r>
  <r>
    <x v="44"/>
    <x v="44"/>
    <n v="2013"/>
    <x v="32"/>
    <x v="32"/>
    <s v="en"/>
    <s v=""/>
    <x v="7"/>
    <n v="88"/>
    <n v="8.1"/>
    <n v="81"/>
    <n v="761724"/>
    <n v="96"/>
    <n v="91"/>
    <n v="244"/>
    <n v="87"/>
    <n v="278959"/>
    <n v="84"/>
    <n v="554833"/>
    <n v="91"/>
    <s v="itunes, amzvid, hbm"/>
    <n v="88.33"/>
    <n v="4"/>
    <n v="2010"/>
  </r>
  <r>
    <x v="45"/>
    <x v="45"/>
    <n v="1998"/>
    <x v="3"/>
    <x v="3"/>
    <s v="en"/>
    <s v="Won 5 Oscars. Another 78 wins &amp; 66 nominations."/>
    <x v="0"/>
    <n v="88"/>
    <n v="8.6"/>
    <n v="86"/>
    <n v="1559687"/>
    <n v="91"/>
    <n v="87"/>
    <n v="91"/>
    <n v="91"/>
    <n v="1004841"/>
    <n v="84"/>
    <n v="1024759"/>
    <n v="91"/>
    <s v="netflix, prime, paramount, itunes, amzvid"/>
    <n v="88.33"/>
    <n v="-4"/>
    <n v="1990"/>
  </r>
  <r>
    <x v="46"/>
    <x v="46"/>
    <n v="2008"/>
    <x v="33"/>
    <x v="33"/>
    <s v="en"/>
    <s v="Won 1 Oscar. Another 84 wins &amp; 65 nominations."/>
    <x v="6"/>
    <n v="88"/>
    <n v="8.4"/>
    <n v="84"/>
    <n v="1252363"/>
    <n v="95"/>
    <n v="88"/>
    <n v="152"/>
    <n v="87"/>
    <n v="1014430"/>
    <n v="84"/>
    <n v="1843873"/>
    <n v="92"/>
    <s v="disney, itunes, amzvid"/>
    <n v="88.33"/>
    <n v="1"/>
    <n v="2000"/>
  </r>
  <r>
    <x v="47"/>
    <x v="47"/>
    <n v="1979"/>
    <x v="34"/>
    <x v="34"/>
    <s v="en"/>
    <s v="Won 1 Oscar. Another 15 wins &amp; 19 nominations."/>
    <x v="14"/>
    <n v="88"/>
    <n v="8.5"/>
    <n v="85"/>
    <n v="1009344"/>
    <n v="89"/>
    <n v="91"/>
    <n v="139"/>
    <n v="91"/>
    <n v="764014"/>
    <n v="86"/>
    <n v="1368049"/>
    <n v="88"/>
    <s v="hbo, itunes, amzvid"/>
    <n v="88.33"/>
    <n v="0"/>
    <n v="1970"/>
  </r>
  <r>
    <x v="48"/>
    <x v="48"/>
    <n v="1959"/>
    <x v="2"/>
    <x v="35"/>
    <s v="fr"/>
    <s v="Nominated for 1 Oscar. Another 7 wins &amp; 3 nominations."/>
    <x v="23"/>
    <n v="87"/>
    <n v="8"/>
    <n v="80"/>
    <n v="131044"/>
    <m/>
    <n v="95"/>
    <n v="66"/>
    <n v="90"/>
    <n v="98670"/>
    <n v="86"/>
    <n v="218210"/>
    <n v="90"/>
    <s v="itunes, amzvid, hbm"/>
    <n v="88.2"/>
    <n v="5"/>
    <n v="1950"/>
  </r>
  <r>
    <x v="49"/>
    <x v="49"/>
    <n v="1991"/>
    <x v="35"/>
    <x v="36"/>
    <s v="en"/>
    <s v="Won 5 Oscars. Another 51 wins &amp; 30 nominations."/>
    <x v="24"/>
    <n v="87"/>
    <n v="8.6"/>
    <n v="86"/>
    <n v="1622286"/>
    <n v="86"/>
    <n v="88"/>
    <n v="112"/>
    <n v="92"/>
    <n v="1226259"/>
    <n v="86"/>
    <n v="1981219"/>
    <n v="91"/>
    <s v="itunes, amzvid"/>
    <n v="88.17"/>
    <n v="-4"/>
    <n v="1990"/>
  </r>
  <r>
    <x v="50"/>
    <x v="50"/>
    <n v="1985"/>
    <x v="36"/>
    <x v="37"/>
    <s v="en"/>
    <s v="Won 1 Oscar. Another 18 wins &amp; 24 nominations."/>
    <x v="3"/>
    <n v="88"/>
    <n v="8.5"/>
    <n v="85"/>
    <n v="1367504"/>
    <n v="87"/>
    <n v="89"/>
    <n v="79"/>
    <n v="91"/>
    <n v="1322805"/>
    <n v="84"/>
    <n v="1773760"/>
    <n v="93"/>
    <s v="itunes, amzvid"/>
    <n v="88.17"/>
    <n v="-2"/>
    <n v="1980"/>
  </r>
  <r>
    <x v="51"/>
    <x v="51"/>
    <n v="1976"/>
    <x v="37"/>
    <x v="9"/>
    <s v="en"/>
    <s v="Nominated for 4 Oscars. Another 27 wins &amp; 9 nominations."/>
    <x v="1"/>
    <n v="87"/>
    <n v="8.1999999999999993"/>
    <n v="82"/>
    <n v="970967"/>
    <n v="94"/>
    <n v="92"/>
    <n v="103"/>
    <n v="90"/>
    <n v="719732"/>
    <n v="82"/>
    <n v="1635079"/>
    <n v="88"/>
    <s v="itunes, amzvid"/>
    <n v="88"/>
    <n v="2"/>
    <n v="1970"/>
  </r>
  <r>
    <x v="52"/>
    <x v="52"/>
    <n v="1958"/>
    <x v="38"/>
    <x v="22"/>
    <s v="en"/>
    <s v=""/>
    <x v="7"/>
    <n v="87"/>
    <n v="7.9"/>
    <n v="79"/>
    <n v="112253"/>
    <n v="99"/>
    <n v="92"/>
    <n v="64"/>
    <n v="88"/>
    <n v="49794"/>
    <n v="84"/>
    <n v="86695"/>
    <n v="86"/>
    <s v="itunes, amzvid"/>
    <n v="88"/>
    <n v="4"/>
    <n v="1950"/>
  </r>
  <r>
    <x v="53"/>
    <x v="53"/>
    <n v="2002"/>
    <x v="16"/>
    <x v="38"/>
    <s v="en"/>
    <s v="Won 3 Oscars. Another 50 wins &amp; 61 nominations."/>
    <x v="25"/>
    <n v="87"/>
    <n v="8.5"/>
    <n v="85"/>
    <n v="961695"/>
    <n v="85"/>
    <n v="83"/>
    <n v="104"/>
    <n v="93"/>
    <n v="457473"/>
    <n v="88"/>
    <n v="864540"/>
    <n v="94"/>
    <s v="amzvid"/>
    <n v="88"/>
    <n v="-10"/>
    <n v="2000"/>
  </r>
  <r>
    <x v="54"/>
    <x v="54"/>
    <n v="1995"/>
    <x v="39"/>
    <x v="39"/>
    <s v="en"/>
    <s v="Nominated for 3 Oscars. Another 23 wins &amp; 14 nominations."/>
    <x v="26"/>
    <n v="88"/>
    <n v="8.3000000000000007"/>
    <n v="83"/>
    <n v="1115033"/>
    <n v="96"/>
    <n v="92"/>
    <n v="73"/>
    <n v="89"/>
    <n v="1290101"/>
    <n v="82"/>
    <n v="1651887"/>
    <n v="86"/>
    <s v="disney, itunes, amzvid"/>
    <n v="88"/>
    <n v="3"/>
    <n v="1990"/>
  </r>
  <r>
    <x v="55"/>
    <x v="55"/>
    <n v="1981"/>
    <x v="40"/>
    <x v="3"/>
    <s v="en"/>
    <s v="Won 4 Oscars. Another 28 wins &amp; 22 nominations."/>
    <x v="0"/>
    <n v="88"/>
    <n v="8.4"/>
    <n v="84"/>
    <n v="1068716"/>
    <n v="86"/>
    <n v="91"/>
    <n v="105"/>
    <n v="91"/>
    <n v="869164"/>
    <n v="84"/>
    <n v="949820"/>
    <n v="91"/>
    <s v="disney, paramount, itunes, amzvid"/>
    <n v="87.83"/>
    <n v="0"/>
    <n v="1980"/>
  </r>
  <r>
    <x v="56"/>
    <x v="56"/>
    <n v="2006"/>
    <x v="41"/>
    <x v="40"/>
    <s v="de"/>
    <s v="Won 1 Oscar. Another 79 wins &amp; 27 nominations."/>
    <x v="15"/>
    <n v="87"/>
    <n v="8.4"/>
    <n v="84"/>
    <n v="425676"/>
    <n v="89"/>
    <n v="85"/>
    <n v="91"/>
    <n v="92"/>
    <n v="131607"/>
    <n v="86"/>
    <n v="151084"/>
    <n v="91"/>
    <s v="itunes, amzvid"/>
    <n v="87.83"/>
    <n v="-7"/>
    <n v="2000"/>
  </r>
  <r>
    <x v="57"/>
    <x v="57"/>
    <n v="1946"/>
    <x v="42"/>
    <x v="41"/>
    <s v="en"/>
    <s v="Won 7 Oscars. Another 14 wins &amp; 1 nomination."/>
    <x v="17"/>
    <n v="87"/>
    <n v="8.1"/>
    <n v="81"/>
    <n v="73744"/>
    <n v="93"/>
    <n v="91"/>
    <n v="63"/>
    <n v="89"/>
    <n v="20090"/>
    <n v="84"/>
    <n v="38366"/>
    <n v="89"/>
    <s v="prime, amzvid"/>
    <n v="87.83"/>
    <n v="2"/>
    <n v="1940"/>
  </r>
  <r>
    <x v="58"/>
    <x v="58"/>
    <n v="1940"/>
    <x v="6"/>
    <x v="42"/>
    <s v="en"/>
    <s v="1 win."/>
    <x v="13"/>
    <n v="87"/>
    <n v="8"/>
    <n v="80"/>
    <n v="41339"/>
    <n v="96"/>
    <n v="90"/>
    <n v="51"/>
    <n v="88"/>
    <n v="30945"/>
    <n v="84"/>
    <n v="68741"/>
    <n v="89"/>
    <s v="itunes, amzvid, hbm"/>
    <n v="87.83"/>
    <n v="2"/>
    <n v="1940"/>
  </r>
  <r>
    <x v="59"/>
    <x v="59"/>
    <n v="2007"/>
    <x v="2"/>
    <x v="20"/>
    <s v="en"/>
    <s v="Won 2 Oscars. Another 117 wins &amp; 101 nominations."/>
    <x v="27"/>
    <n v="88"/>
    <n v="8.1999999999999993"/>
    <n v="82"/>
    <n v="666631"/>
    <n v="93"/>
    <n v="87"/>
    <n v="166"/>
    <n v="84"/>
    <n v="462225"/>
    <n v="90"/>
    <n v="874342"/>
    <n v="91"/>
    <s v="paramount, itunes, amzvid"/>
    <n v="87.83"/>
    <n v="3"/>
    <n v="2000"/>
  </r>
  <r>
    <x v="60"/>
    <x v="60"/>
    <n v="1957"/>
    <x v="43"/>
    <x v="43"/>
    <s v="sv"/>
    <s v="7 wins &amp; 1 nomination."/>
    <x v="28"/>
    <n v="87"/>
    <n v="8.1"/>
    <n v="81"/>
    <n v="206854"/>
    <n v="88"/>
    <n v="91"/>
    <n v="57"/>
    <n v="90"/>
    <n v="132192"/>
    <n v="86"/>
    <n v="297436"/>
    <n v="90"/>
    <s v="itunes, amzvid, hbm"/>
    <n v="87.67"/>
    <n v="1"/>
    <n v="1950"/>
  </r>
  <r>
    <x v="61"/>
    <x v="61"/>
    <n v="2002"/>
    <x v="22"/>
    <x v="21"/>
    <s v="en"/>
    <s v="Won 2 Oscars. Another 103 wins &amp; 100 nominations."/>
    <x v="16"/>
    <n v="87"/>
    <n v="8.8000000000000007"/>
    <n v="88"/>
    <n v="1861078"/>
    <n v="87"/>
    <n v="86"/>
    <n v="140"/>
    <n v="92"/>
    <n v="1379232"/>
    <n v="88"/>
    <n v="1454840"/>
    <n v="85"/>
    <s v="hbo, itunes, amzvid, hbm"/>
    <n v="87.67"/>
    <n v="-6"/>
    <n v="2000"/>
  </r>
  <r>
    <x v="62"/>
    <x v="62"/>
    <n v="1989"/>
    <x v="2"/>
    <x v="44"/>
    <s v="en"/>
    <s v="Nominated for 2 Oscars. Another 15 wins &amp; 8 nominations."/>
    <x v="3"/>
    <n v="88"/>
    <n v="8"/>
    <n v="80"/>
    <n v="117516"/>
    <n v="93"/>
    <n v="92"/>
    <n v="82"/>
    <n v="86"/>
    <n v="177459"/>
    <n v="88"/>
    <n v="384341"/>
    <n v="86"/>
    <s v="prime, itunes, amzvid"/>
    <n v="87.5"/>
    <n v="6"/>
    <n v="1980"/>
  </r>
  <r>
    <x v="63"/>
    <x v="63"/>
    <n v="1984"/>
    <x v="44"/>
    <x v="25"/>
    <s v="en"/>
    <s v="Won 8 Oscars. Another 34 wins &amp; 13 nominations."/>
    <x v="11"/>
    <n v="87"/>
    <n v="8.4"/>
    <n v="84"/>
    <n v="446044"/>
    <n v="87"/>
    <n v="89"/>
    <n v="85"/>
    <n v="91"/>
    <n v="240893"/>
    <n v="86"/>
    <n v="361671"/>
    <n v="88"/>
    <s v="itunes, amzvid"/>
    <n v="87.5"/>
    <n v="-2"/>
    <n v="1980"/>
  </r>
  <r>
    <x v="64"/>
    <x v="64"/>
    <n v="2004"/>
    <x v="45"/>
    <x v="45"/>
    <s v="en"/>
    <s v="Won 1 Oscar. Another 71 wins &amp; 68 nominations."/>
    <x v="25"/>
    <n v="87"/>
    <n v="8.3000000000000007"/>
    <n v="83"/>
    <n v="1129606"/>
    <n v="89"/>
    <n v="86"/>
    <n v="165"/>
    <n v="90"/>
    <n v="1168654"/>
    <n v="84"/>
    <n v="2359950"/>
    <n v="93"/>
    <s v="itunes, amzvid"/>
    <n v="87.5"/>
    <n v="-4"/>
    <n v="2000"/>
  </r>
  <r>
    <x v="65"/>
    <x v="65"/>
    <n v="1955"/>
    <x v="35"/>
    <x v="46"/>
    <s v="en"/>
    <s v="1 win."/>
    <x v="8"/>
    <n v="87"/>
    <n v="8"/>
    <n v="80"/>
    <n v="102071"/>
    <n v="97"/>
    <n v="93"/>
    <n v="82"/>
    <n v="87"/>
    <n v="72731"/>
    <n v="86"/>
    <n v="168419"/>
    <n v="82"/>
    <s v="itunes, amzvid"/>
    <n v="87.5"/>
    <n v="6"/>
    <n v="1950"/>
  </r>
  <r>
    <x v="66"/>
    <x v="66"/>
    <n v="2007"/>
    <x v="46"/>
    <x v="47"/>
    <s v="en"/>
    <s v="Won 1 Oscar. Another 65 wins &amp; 37 nominations."/>
    <x v="29"/>
    <n v="87"/>
    <n v="8.1"/>
    <n v="81"/>
    <n v="877175"/>
    <n v="96"/>
    <n v="88"/>
    <n v="152"/>
    <n v="84"/>
    <n v="1516553"/>
    <n v="84"/>
    <n v="2402281"/>
    <n v="91"/>
    <s v="disney, itunes, amzvid"/>
    <n v="87.33"/>
    <n v="4"/>
    <n v="2000"/>
  </r>
  <r>
    <x v="67"/>
    <x v="67"/>
    <n v="2023"/>
    <x v="11"/>
    <x v="48"/>
    <s v="en"/>
    <s v=""/>
    <x v="7"/>
    <n v="87"/>
    <n v="7.8"/>
    <n v="78"/>
    <n v="148063"/>
    <n v="94"/>
    <n v="92"/>
    <n v="181"/>
    <m/>
    <n v="422095"/>
    <n v="84"/>
    <n v="1258872"/>
    <n v="88"/>
    <s v=""/>
    <n v="87.2"/>
    <n v="92"/>
    <n v="2020"/>
  </r>
  <r>
    <x v="68"/>
    <x v="68"/>
    <n v="2006"/>
    <x v="47"/>
    <x v="9"/>
    <s v="en"/>
    <s v="Won 4 Oscars. Another 102 wins &amp; 88 nominations."/>
    <x v="11"/>
    <n v="86"/>
    <n v="8.5"/>
    <n v="85"/>
    <n v="1478709"/>
    <n v="85"/>
    <n v="84"/>
    <n v="172"/>
    <n v="91"/>
    <n v="853886"/>
    <n v="86"/>
    <n v="1082954"/>
    <n v="92"/>
    <s v="itunes, amzvid, hbm"/>
    <n v="87.17"/>
    <n v="-7"/>
    <n v="2000"/>
  </r>
  <r>
    <x v="69"/>
    <x v="69"/>
    <n v="1974"/>
    <x v="48"/>
    <x v="38"/>
    <s v="en"/>
    <s v="Won 1 Oscar. Another 21 wins &amp; 22 nominations."/>
    <x v="0"/>
    <n v="87"/>
    <n v="8.1"/>
    <n v="81"/>
    <n v="362976"/>
    <n v="92"/>
    <n v="94"/>
    <n v="63"/>
    <n v="89"/>
    <n v="176581"/>
    <n v="86"/>
    <n v="373349"/>
    <n v="81"/>
    <s v="paramount, itunes, amzvid, hbm"/>
    <n v="87.17"/>
    <n v="5"/>
    <n v="1970"/>
  </r>
  <r>
    <x v="70"/>
    <x v="70"/>
    <n v="1957"/>
    <x v="49"/>
    <x v="11"/>
    <s v="en"/>
    <s v="Nominated for 1 BAFTA Film Award. Another 4 wins &amp; 2 nominations."/>
    <x v="8"/>
    <n v="86"/>
    <n v="8.4"/>
    <n v="84"/>
    <n v="224612"/>
    <n v="90"/>
    <n v="90"/>
    <n v="68"/>
    <n v="92"/>
    <n v="99118"/>
    <n v="88"/>
    <n v="226166"/>
    <n v="79"/>
    <s v="itunes, amzvid"/>
    <n v="87.17"/>
    <n v="-2"/>
    <n v="1950"/>
  </r>
  <r>
    <x v="71"/>
    <x v="71"/>
    <n v="1975"/>
    <x v="50"/>
    <x v="49"/>
    <s v="en"/>
    <s v="1 win &amp; 2 nominations."/>
    <x v="30"/>
    <n v="86"/>
    <n v="8.1999999999999993"/>
    <n v="82"/>
    <n v="584895"/>
    <n v="91"/>
    <n v="87"/>
    <n v="60"/>
    <n v="90"/>
    <n v="602159"/>
    <n v="82"/>
    <n v="515943"/>
    <n v="91"/>
    <s v="britbox, prime, peacock, itunes, amzvid"/>
    <n v="87.17"/>
    <n v="-3"/>
    <n v="1970"/>
  </r>
  <r>
    <x v="72"/>
    <x v="72"/>
    <n v="1988"/>
    <x v="51"/>
    <x v="7"/>
    <s v="ja"/>
    <s v="5 wins &amp; 1 nomination."/>
    <x v="31"/>
    <n v="86"/>
    <n v="8.1"/>
    <n v="81"/>
    <n v="403332"/>
    <n v="87"/>
    <n v="86"/>
    <n v="54"/>
    <n v="90"/>
    <n v="503212"/>
    <n v="84"/>
    <n v="1326860"/>
    <n v="94"/>
    <s v="itunes, amzvid, hbm"/>
    <n v="87"/>
    <n v="-4"/>
    <n v="1980"/>
  </r>
  <r>
    <x v="73"/>
    <x v="73"/>
    <n v="1997"/>
    <x v="52"/>
    <x v="50"/>
    <s v="en"/>
    <s v="Won 2 Oscars. Another 95 wins &amp; 62 nominations."/>
    <x v="11"/>
    <n v="86"/>
    <n v="8.1999999999999993"/>
    <n v="82"/>
    <n v="638085"/>
    <n v="91"/>
    <n v="90"/>
    <n v="96"/>
    <n v="90"/>
    <n v="205235"/>
    <n v="82"/>
    <n v="312718"/>
    <n v="87"/>
    <s v="hulu, disney, prime"/>
    <n v="87"/>
    <n v="0"/>
    <n v="1990"/>
  </r>
  <r>
    <x v="74"/>
    <x v="74"/>
    <n v="1994"/>
    <x v="53"/>
    <x v="51"/>
    <s v="en"/>
    <s v="Won 2 Oscars. Another 28 wins &amp; 25 nominations."/>
    <x v="26"/>
    <n v="86"/>
    <n v="8.5"/>
    <n v="85"/>
    <n v="1194520"/>
    <n v="88"/>
    <n v="86"/>
    <n v="115"/>
    <n v="90"/>
    <n v="1332919"/>
    <n v="84"/>
    <n v="1460091"/>
    <n v="89"/>
    <s v="disney, itunes, amzvid"/>
    <n v="87"/>
    <n v="-4"/>
    <n v="1990"/>
  </r>
  <r>
    <x v="75"/>
    <x v="75"/>
    <n v="2020"/>
    <x v="54"/>
    <x v="52"/>
    <s v="en"/>
    <s v=""/>
    <x v="7"/>
    <n v="87"/>
    <n v="8.3000000000000007"/>
    <n v="83"/>
    <n v="126439"/>
    <n v="88"/>
    <n v="91"/>
    <n v="102"/>
    <n v="88"/>
    <n v="142644"/>
    <n v="84"/>
    <n v="423181"/>
    <n v="87"/>
    <s v=""/>
    <n v="86.83"/>
    <n v="3"/>
    <n v="2020"/>
  </r>
  <r>
    <x v="76"/>
    <x v="76"/>
    <n v="1988"/>
    <x v="11"/>
    <x v="53"/>
    <s v="it"/>
    <s v="Won 1 Oscar. Another 20 wins &amp; 23 nominations."/>
    <x v="4"/>
    <n v="86"/>
    <n v="8.5"/>
    <n v="85"/>
    <n v="299114"/>
    <n v="80"/>
    <n v="81"/>
    <n v="61"/>
    <n v="93"/>
    <n v="156145"/>
    <n v="90"/>
    <n v="336814"/>
    <n v="92"/>
    <s v="itunes, amzvid"/>
    <n v="86.83"/>
    <n v="-12"/>
    <n v="1980"/>
  </r>
  <r>
    <x v="77"/>
    <x v="77"/>
    <n v="2002"/>
    <x v="0"/>
    <x v="54"/>
    <s v="pt"/>
    <s v="Nominated for 4 Oscars. Another 70 wins &amp; 29 nominations."/>
    <x v="4"/>
    <n v="86"/>
    <n v="8.6"/>
    <n v="86"/>
    <n v="832918"/>
    <n v="79"/>
    <n v="82"/>
    <n v="110"/>
    <n v="93"/>
    <n v="417654"/>
    <n v="90"/>
    <n v="747463"/>
    <n v="91"/>
    <s v="itunes, amzvid"/>
    <n v="86.83"/>
    <n v="-11"/>
    <n v="2000"/>
  </r>
  <r>
    <x v="78"/>
    <x v="78"/>
    <n v="2020"/>
    <x v="55"/>
    <x v="55"/>
    <s v="en"/>
    <s v=""/>
    <x v="7"/>
    <n v="85"/>
    <n v="8"/>
    <n v="80"/>
    <n v="41605"/>
    <n v="87"/>
    <n v="87"/>
    <n v="109"/>
    <n v="95"/>
    <n v="45817"/>
    <n v="84"/>
    <n v="135079"/>
    <n v="88"/>
    <s v="apple"/>
    <n v="86.83"/>
    <n v="-8"/>
    <n v="2020"/>
  </r>
  <r>
    <x v="79"/>
    <x v="79"/>
    <n v="1957"/>
    <x v="3"/>
    <x v="16"/>
    <s v="en"/>
    <s v="Won 7 Oscars. Another 23 wins &amp; 7 nominations."/>
    <x v="1"/>
    <n v="87"/>
    <n v="8.1"/>
    <n v="81"/>
    <n v="240528"/>
    <n v="88"/>
    <n v="93"/>
    <n v="64"/>
    <n v="89"/>
    <n v="67210"/>
    <n v="84"/>
    <n v="91805"/>
    <n v="86"/>
    <s v="itunes, amzvid, hbm"/>
    <n v="86.83"/>
    <n v="4"/>
    <n v="1950"/>
  </r>
  <r>
    <x v="80"/>
    <x v="80"/>
    <n v="2024"/>
    <x v="32"/>
    <x v="56"/>
    <s v="pt"/>
    <s v=""/>
    <x v="7"/>
    <n v="87"/>
    <n v="8.4"/>
    <n v="84"/>
    <n v="94661"/>
    <n v="85"/>
    <n v="84"/>
    <n v="106"/>
    <m/>
    <m/>
    <n v="86"/>
    <n v="526291"/>
    <n v="95"/>
    <s v="netflix"/>
    <n v="86.8"/>
    <n v="84"/>
    <n v="2020"/>
  </r>
  <r>
    <x v="81"/>
    <x v="81"/>
    <n v="1934"/>
    <x v="13"/>
    <x v="24"/>
    <s v="en"/>
    <s v="Won 5 Oscars. Another 5 wins &amp; 1 nomination."/>
    <x v="32"/>
    <n v="86"/>
    <n v="8.1"/>
    <n v="81"/>
    <n v="116269"/>
    <n v="87"/>
    <n v="90"/>
    <n v="72"/>
    <n v="89"/>
    <n v="56458"/>
    <n v="84"/>
    <n v="101589"/>
    <n v="89"/>
    <s v="itunes, amzvid"/>
    <n v="86.67"/>
    <n v="1"/>
    <n v="1930"/>
  </r>
  <r>
    <x v="82"/>
    <x v="82"/>
    <n v="1991"/>
    <x v="56"/>
    <x v="57"/>
    <s v="en"/>
    <s v="Won 2 Oscars. Another 22 wins &amp; 20 nominations."/>
    <x v="26"/>
    <n v="86"/>
    <n v="8"/>
    <n v="80"/>
    <n v="491091"/>
    <n v="95"/>
    <n v="89"/>
    <n v="102"/>
    <n v="88"/>
    <n v="679535"/>
    <n v="78"/>
    <n v="640107"/>
    <n v="90"/>
    <s v="disney, itunes, amzvid"/>
    <n v="86.67"/>
    <n v="1"/>
    <n v="1990"/>
  </r>
  <r>
    <x v="83"/>
    <x v="83"/>
    <n v="2018"/>
    <x v="57"/>
    <x v="58"/>
    <s v="en"/>
    <s v=""/>
    <x v="7"/>
    <n v="86"/>
    <n v="8.4"/>
    <n v="84"/>
    <n v="723333"/>
    <n v="87"/>
    <n v="88"/>
    <n v="242"/>
    <n v="90"/>
    <n v="1068834"/>
    <n v="88"/>
    <n v="3153094"/>
    <n v="83"/>
    <s v="netflix, itunes, amzvid"/>
    <n v="86.67"/>
    <n v="-2"/>
    <n v="2010"/>
  </r>
  <r>
    <x v="84"/>
    <x v="84"/>
    <n v="1963"/>
    <x v="2"/>
    <x v="59"/>
    <s v="it"/>
    <s v="Won 2 Oscars. Another 16 wins &amp; 8 nominations."/>
    <x v="33"/>
    <n v="86"/>
    <n v="8"/>
    <n v="80"/>
    <n v="128719"/>
    <n v="93"/>
    <n v="87"/>
    <n v="53"/>
    <n v="89"/>
    <n v="95771"/>
    <n v="86"/>
    <n v="196861"/>
    <n v="85"/>
    <s v="itunes, amzvid, hbm"/>
    <n v="86.67"/>
    <n v="-2"/>
    <n v="1960"/>
  </r>
  <r>
    <x v="85"/>
    <x v="85"/>
    <n v="2023"/>
    <x v="57"/>
    <x v="60"/>
    <s v="en"/>
    <s v=""/>
    <x v="7"/>
    <n v="87"/>
    <n v="8.5"/>
    <n v="85"/>
    <n v="441825"/>
    <n v="86"/>
    <n v="86"/>
    <n v="222"/>
    <m/>
    <n v="838214"/>
    <n v="88"/>
    <n v="2432408"/>
    <n v="88"/>
    <s v="disney"/>
    <n v="86.6"/>
    <n v="86"/>
    <n v="2020"/>
  </r>
  <r>
    <x v="86"/>
    <x v="86"/>
    <n v="2024"/>
    <x v="58"/>
    <x v="61"/>
    <s v="en"/>
    <s v=""/>
    <x v="7"/>
    <n v="87"/>
    <n v="8.1999999999999993"/>
    <n v="82"/>
    <n v="151761"/>
    <n v="85"/>
    <n v="84"/>
    <n v="143"/>
    <m/>
    <m/>
    <n v="84"/>
    <n v="807351"/>
    <n v="98"/>
    <s v="peacock"/>
    <n v="86.6"/>
    <n v="84"/>
    <n v="2020"/>
  </r>
  <r>
    <x v="87"/>
    <x v="87"/>
    <n v="1939"/>
    <x v="59"/>
    <x v="62"/>
    <s v="en"/>
    <s v="Won 8 Oscars. Another 11 wins &amp; 6 nominations."/>
    <x v="34"/>
    <n v="86"/>
    <n v="8.1999999999999993"/>
    <n v="82"/>
    <n v="344610"/>
    <n v="97"/>
    <n v="90"/>
    <n v="66"/>
    <n v="88"/>
    <n v="259241"/>
    <n v="78"/>
    <n v="189395"/>
    <n v="84"/>
    <s v="hbo, itunes, amzvid, hbm"/>
    <n v="86.5"/>
    <n v="2"/>
    <n v="1930"/>
  </r>
  <r>
    <x v="88"/>
    <x v="88"/>
    <n v="1969"/>
    <x v="9"/>
    <x v="63"/>
    <s v="en"/>
    <s v="Nominated for 2 Oscars. Another 6 wins &amp; 3 nominations."/>
    <x v="11"/>
    <n v="86"/>
    <n v="7.9"/>
    <n v="79"/>
    <n v="92654"/>
    <n v="98"/>
    <n v="91"/>
    <n v="54"/>
    <n v="87"/>
    <n v="43809"/>
    <n v="82"/>
    <n v="62739"/>
    <n v="82"/>
    <s v="itunes, amzvid"/>
    <n v="86.5"/>
    <n v="4"/>
    <n v="1960"/>
  </r>
  <r>
    <x v="89"/>
    <x v="89"/>
    <n v="2000"/>
    <x v="11"/>
    <x v="64"/>
    <s v="cn"/>
    <s v="Nominated for 1 BAFTA Film Award. Another 43 wins &amp; 38 nominations."/>
    <x v="35"/>
    <n v="85"/>
    <n v="8.1"/>
    <n v="81"/>
    <n v="175775"/>
    <n v="87"/>
    <n v="82"/>
    <n v="87"/>
    <n v="90"/>
    <n v="251393"/>
    <n v="88"/>
    <n v="645707"/>
    <n v="91"/>
    <s v="hbm"/>
    <n v="86.5"/>
    <n v="-8"/>
    <n v="2000"/>
  </r>
  <r>
    <x v="90"/>
    <x v="90"/>
    <n v="2010"/>
    <x v="60"/>
    <x v="65"/>
    <s v="en"/>
    <s v="Won 2 Oscars. Another 61 wins &amp; 81 nominations."/>
    <x v="6"/>
    <n v="86"/>
    <n v="8.3000000000000007"/>
    <n v="83"/>
    <n v="926157"/>
    <n v="92"/>
    <n v="90"/>
    <n v="218"/>
    <n v="86"/>
    <n v="796262"/>
    <n v="80"/>
    <n v="1171417"/>
    <n v="88"/>
    <s v="disney, itunes, amzvid"/>
    <n v="86.5"/>
    <n v="4"/>
    <n v="2010"/>
  </r>
  <r>
    <x v="91"/>
    <x v="91"/>
    <n v="1998"/>
    <x v="61"/>
    <x v="66"/>
    <s v="en"/>
    <s v="Nominated for 3 Oscars. Another 35 wins &amp; 64 nominations."/>
    <x v="0"/>
    <n v="86"/>
    <n v="8.1999999999999993"/>
    <n v="82"/>
    <n v="1267347"/>
    <n v="90"/>
    <n v="86"/>
    <n v="108"/>
    <n v="87"/>
    <n v="1350393"/>
    <n v="84"/>
    <n v="2880682"/>
    <n v="90"/>
    <s v="paramount, itunes, amzvid, hbm"/>
    <n v="86.5"/>
    <n v="-1"/>
    <n v="1990"/>
  </r>
  <r>
    <x v="92"/>
    <x v="92"/>
    <n v="1996"/>
    <x v="35"/>
    <x v="67"/>
    <s v="en"/>
    <s v="Won 2 Oscars. Another 78 wins &amp; 42 nominations."/>
    <x v="13"/>
    <n v="86"/>
    <n v="8.1"/>
    <n v="81"/>
    <n v="751771"/>
    <n v="88"/>
    <n v="88"/>
    <n v="72"/>
    <n v="89"/>
    <n v="470077"/>
    <n v="84"/>
    <n v="939939"/>
    <n v="89"/>
    <s v="itunes, amzvid"/>
    <n v="86.5"/>
    <n v="-1"/>
    <n v="1990"/>
  </r>
  <r>
    <x v="93"/>
    <x v="93"/>
    <n v="2018"/>
    <x v="62"/>
    <x v="68"/>
    <s v="ja"/>
    <s v=""/>
    <x v="7"/>
    <n v="86"/>
    <n v="7.9"/>
    <n v="79"/>
    <n v="91034"/>
    <n v="93"/>
    <n v="89"/>
    <n v="147"/>
    <n v="88"/>
    <n v="83143"/>
    <n v="86"/>
    <n v="244423"/>
    <n v="84"/>
    <s v="itunes, amzvid"/>
    <n v="86.5"/>
    <n v="1"/>
    <n v="2010"/>
  </r>
  <r>
    <x v="94"/>
    <x v="94"/>
    <n v="2007"/>
    <x v="35"/>
    <x v="69"/>
    <s v="en"/>
    <s v="Won 4 Oscars. Another 168 wins &amp; 98 nominations."/>
    <x v="4"/>
    <n v="87"/>
    <n v="8.1999999999999993"/>
    <n v="82"/>
    <n v="1113836"/>
    <n v="92"/>
    <n v="89"/>
    <n v="206"/>
    <n v="84"/>
    <n v="743270"/>
    <n v="86"/>
    <n v="1428294"/>
    <n v="85"/>
    <s v="prime, paramount, itunes, amzvid, hbm"/>
    <n v="86.33"/>
    <n v="5"/>
    <n v="2000"/>
  </r>
  <r>
    <x v="95"/>
    <x v="95"/>
    <n v="1986"/>
    <x v="63"/>
    <x v="70"/>
    <s v="en"/>
    <s v="Won 2 Oscars. Another 16 wins &amp; 22 nominations."/>
    <x v="36"/>
    <n v="86"/>
    <n v="8.4"/>
    <n v="84"/>
    <n v="804533"/>
    <n v="84"/>
    <n v="88"/>
    <n v="99"/>
    <n v="90"/>
    <n v="516707"/>
    <n v="82"/>
    <n v="687721"/>
    <n v="90"/>
    <s v="hbo, itunes, amzvid"/>
    <n v="86.33"/>
    <n v="-2"/>
    <n v="1980"/>
  </r>
  <r>
    <x v="96"/>
    <x v="96"/>
    <n v="1960"/>
    <x v="61"/>
    <x v="59"/>
    <s v="it"/>
    <s v="Won 1 Oscar. Another 10 wins &amp; 12 nominations."/>
    <x v="37"/>
    <n v="86"/>
    <n v="8"/>
    <n v="80"/>
    <n v="82147"/>
    <n v="95"/>
    <n v="92"/>
    <n v="66"/>
    <n v="87"/>
    <n v="62176"/>
    <n v="86"/>
    <n v="118064"/>
    <n v="78"/>
    <s v=""/>
    <n v="86.33"/>
    <n v="5"/>
    <n v="1960"/>
  </r>
  <r>
    <x v="97"/>
    <x v="97"/>
    <n v="1968"/>
    <x v="64"/>
    <x v="10"/>
    <s v="it"/>
    <s v="4 wins &amp; 5 nominations."/>
    <x v="0"/>
    <n v="86"/>
    <n v="8.5"/>
    <n v="85"/>
    <n v="365674"/>
    <n v="82"/>
    <n v="89"/>
    <n v="61"/>
    <n v="92"/>
    <n v="112953"/>
    <n v="88"/>
    <n v="206571"/>
    <n v="82"/>
    <s v="paramount, itunes, amzvid"/>
    <n v="86.33"/>
    <n v="-3"/>
    <n v="1960"/>
  </r>
  <r>
    <x v="98"/>
    <x v="98"/>
    <n v="1926"/>
    <x v="65"/>
    <x v="71"/>
    <s v="en"/>
    <s v="2 wins &amp; 1 nomination."/>
    <x v="38"/>
    <n v="86"/>
    <n v="8.1"/>
    <n v="81"/>
    <n v="101941"/>
    <m/>
    <n v="93"/>
    <n v="52"/>
    <n v="89"/>
    <n v="36906"/>
    <n v="84"/>
    <n v="87490"/>
    <n v="84"/>
    <s v="prime, amzvid"/>
    <n v="86.2"/>
    <n v="4"/>
    <n v="1920"/>
  </r>
  <r>
    <x v="99"/>
    <x v="99"/>
    <n v="1972"/>
    <x v="66"/>
    <x v="72"/>
    <s v="ru"/>
    <s v="2 wins &amp; 4 nominations."/>
    <x v="39"/>
    <n v="86"/>
    <n v="7.9"/>
    <n v="79"/>
    <n v="101413"/>
    <n v="93"/>
    <n v="88"/>
    <n v="62"/>
    <n v="87"/>
    <n v="71458"/>
    <n v="84"/>
    <n v="159749"/>
    <n v="86"/>
    <s v="itunes, amzvid, hbm"/>
    <n v="86.17"/>
    <n v="1"/>
    <n v="1970"/>
  </r>
  <r>
    <x v="100"/>
    <x v="100"/>
    <n v="1986"/>
    <x v="67"/>
    <x v="73"/>
    <s v="en"/>
    <s v="Won 4 Oscars. Another 23 wins &amp; 10 nominations."/>
    <x v="40"/>
    <n v="85"/>
    <n v="8.1"/>
    <n v="81"/>
    <n v="453374"/>
    <n v="92"/>
    <n v="87"/>
    <n v="77"/>
    <n v="89"/>
    <n v="242805"/>
    <n v="80"/>
    <n v="247515"/>
    <n v="88"/>
    <s v="prime, itunes, amzvid"/>
    <n v="86.17"/>
    <n v="-2"/>
    <n v="1980"/>
  </r>
  <r>
    <x v="101"/>
    <x v="101"/>
    <n v="2015"/>
    <x v="32"/>
    <x v="74"/>
    <s v="en"/>
    <s v="2 wins &amp; 1 nomination."/>
    <x v="41"/>
    <n v="85"/>
    <n v="8.1"/>
    <n v="81"/>
    <n v="516632"/>
    <n v="93"/>
    <n v="89"/>
    <n v="226"/>
    <n v="89"/>
    <n v="208496"/>
    <n v="82"/>
    <n v="483396"/>
    <n v="83"/>
    <s v="itunes, amzvid, hbm"/>
    <n v="86.17"/>
    <n v="0"/>
    <n v="2010"/>
  </r>
  <r>
    <x v="102"/>
    <x v="102"/>
    <n v="1994"/>
    <x v="6"/>
    <x v="37"/>
    <s v="en"/>
    <s v="Won 6 Oscars. Another 40 wins &amp; 47 nominations."/>
    <x v="0"/>
    <n v="85"/>
    <n v="8.8000000000000007"/>
    <n v="88"/>
    <n v="2362620"/>
    <n v="82"/>
    <n v="79"/>
    <n v="87"/>
    <n v="92"/>
    <n v="1666500"/>
    <n v="82"/>
    <n v="2511027"/>
    <n v="94"/>
    <s v="paramount, itunes, amzvid"/>
    <n v="86.17"/>
    <n v="-13"/>
    <n v="1990"/>
  </r>
  <r>
    <x v="103"/>
    <x v="103"/>
    <n v="2016"/>
    <x v="68"/>
    <x v="75"/>
    <s v="ja"/>
    <s v=""/>
    <x v="7"/>
    <n v="85"/>
    <n v="8.4"/>
    <n v="84"/>
    <n v="352028"/>
    <n v="81"/>
    <n v="82"/>
    <n v="94"/>
    <n v="91"/>
    <n v="346957"/>
    <n v="84"/>
    <n v="1014115"/>
    <n v="95"/>
    <s v="itunes, amzvid"/>
    <n v="86.17"/>
    <n v="-9"/>
    <n v="2010"/>
  </r>
  <r>
    <x v="104"/>
    <x v="104"/>
    <n v="2003"/>
    <x v="35"/>
    <x v="8"/>
    <s v="ko"/>
    <s v="13 wins &amp; 3 nominations."/>
    <x v="42"/>
    <n v="85"/>
    <n v="8.1"/>
    <n v="81"/>
    <n v="237542"/>
    <n v="82"/>
    <n v="82"/>
    <n v="68"/>
    <n v="90"/>
    <n v="203836"/>
    <n v="88"/>
    <n v="587951"/>
    <n v="94"/>
    <s v="paramount, amzvid"/>
    <n v="86.17"/>
    <n v="-8"/>
    <n v="2000"/>
  </r>
  <r>
    <x v="105"/>
    <x v="105"/>
    <n v="1939"/>
    <x v="69"/>
    <x v="62"/>
    <s v="en"/>
    <s v="Won 2 Oscars. Another 7 wins &amp; 13 nominations."/>
    <x v="11"/>
    <n v="86"/>
    <n v="8.1"/>
    <n v="81"/>
    <n v="447805"/>
    <n v="92"/>
    <n v="94"/>
    <n v="104"/>
    <n v="85"/>
    <n v="799483"/>
    <n v="80"/>
    <n v="644347"/>
    <n v="85"/>
    <s v="hbo, itunes, hbm"/>
    <n v="86.17"/>
    <n v="9"/>
    <n v="1930"/>
  </r>
  <r>
    <x v="106"/>
    <x v="106"/>
    <n v="1953"/>
    <x v="70"/>
    <x v="76"/>
    <s v="fr"/>
    <s v="Won 1 BAFTA Film Award. Another 5 wins."/>
    <x v="28"/>
    <n v="85"/>
    <n v="8.1"/>
    <n v="81"/>
    <n v="69739"/>
    <n v="85"/>
    <n v="89"/>
    <n v="52"/>
    <n v="91"/>
    <n v="22172"/>
    <n v="86"/>
    <n v="48927"/>
    <n v="84"/>
    <s v="amzvid, hbm"/>
    <n v="86"/>
    <n v="-2"/>
    <n v="1950"/>
  </r>
  <r>
    <x v="107"/>
    <x v="107"/>
    <n v="1971"/>
    <x v="11"/>
    <x v="77"/>
    <s v="en"/>
    <s v="Won 2 Oscars. Another 22 wins &amp; 16 nominations."/>
    <x v="1"/>
    <n v="86"/>
    <n v="8"/>
    <n v="80"/>
    <n v="54647"/>
    <n v="93"/>
    <n v="92"/>
    <n v="69"/>
    <n v="86"/>
    <n v="33440"/>
    <n v="84"/>
    <n v="71748"/>
    <n v="81"/>
    <s v="itunes, amzvid"/>
    <n v="86"/>
    <n v="6"/>
    <n v="1970"/>
  </r>
  <r>
    <x v="108"/>
    <x v="108"/>
    <n v="2016"/>
    <x v="71"/>
    <x v="78"/>
    <s v="en"/>
    <s v=""/>
    <x v="7"/>
    <n v="87"/>
    <n v="7.9"/>
    <n v="79"/>
    <n v="24118"/>
    <n v="95"/>
    <n v="91"/>
    <n v="127"/>
    <n v="81"/>
    <n v="28746"/>
    <n v="84"/>
    <n v="57440"/>
    <n v="86"/>
    <s v="itunes, amzvid"/>
    <n v="86"/>
    <n v="10"/>
    <n v="2010"/>
  </r>
  <r>
    <x v="109"/>
    <x v="109"/>
    <n v="2012"/>
    <x v="71"/>
    <x v="79"/>
    <s v="id"/>
    <s v="Nominated for 1 Oscar. Another 56 wins &amp; 30 nominations."/>
    <x v="43"/>
    <n v="86"/>
    <n v="8.1999999999999993"/>
    <n v="82"/>
    <n v="42189"/>
    <n v="92"/>
    <n v="89"/>
    <n v="112"/>
    <n v="83"/>
    <n v="35639"/>
    <n v="88"/>
    <n v="76803"/>
    <n v="82"/>
    <s v="itunes, amzvid"/>
    <n v="86"/>
    <n v="6"/>
    <n v="2010"/>
  </r>
  <r>
    <x v="110"/>
    <x v="110"/>
    <n v="1920"/>
    <x v="72"/>
    <x v="80"/>
    <s v="de"/>
    <s v=""/>
    <x v="12"/>
    <n v="85"/>
    <n v="8"/>
    <n v="80"/>
    <n v="73119"/>
    <m/>
    <n v="93"/>
    <n v="75"/>
    <n v="86"/>
    <n v="77818"/>
    <n v="82"/>
    <n v="177616"/>
    <n v="89"/>
    <s v="amzvid, itunes"/>
    <n v="86"/>
    <n v="7"/>
    <n v="1920"/>
  </r>
  <r>
    <x v="111"/>
    <x v="111"/>
    <n v="1992"/>
    <x v="17"/>
    <x v="5"/>
    <s v="en"/>
    <s v="12 wins &amp; 11 nominations."/>
    <x v="4"/>
    <n v="86"/>
    <n v="8.3000000000000007"/>
    <n v="83"/>
    <n v="1126378"/>
    <n v="81"/>
    <n v="87"/>
    <n v="63"/>
    <n v="90"/>
    <n v="693273"/>
    <n v="84"/>
    <n v="1184639"/>
    <n v="91"/>
    <s v="netflix, itunes, amzvid"/>
    <n v="86"/>
    <n v="-3"/>
    <n v="1990"/>
  </r>
  <r>
    <x v="112"/>
    <x v="112"/>
    <n v="2000"/>
    <x v="73"/>
    <x v="81"/>
    <s v="en"/>
    <s v="Nominated for 2 Oscars. Another 52 wins &amp; 44 nominations."/>
    <x v="44"/>
    <n v="85"/>
    <n v="8.4"/>
    <n v="84"/>
    <n v="1371012"/>
    <n v="83"/>
    <n v="83"/>
    <n v="121"/>
    <n v="91"/>
    <n v="689974"/>
    <n v="84"/>
    <n v="1305228"/>
    <n v="91"/>
    <s v="peacock, prime, itunes, amzvid, hbm"/>
    <n v="86"/>
    <n v="-8"/>
    <n v="2000"/>
  </r>
  <r>
    <x v="113"/>
    <x v="113"/>
    <n v="1978"/>
    <x v="16"/>
    <x v="82"/>
    <s v="en"/>
    <s v="Won 5 Oscars. Another 24 wins &amp; 18 nominations."/>
    <x v="3"/>
    <n v="85"/>
    <n v="8.1"/>
    <n v="81"/>
    <n v="373634"/>
    <n v="90"/>
    <n v="87"/>
    <n v="79"/>
    <n v="89"/>
    <n v="142669"/>
    <n v="84"/>
    <n v="220254"/>
    <n v="85"/>
    <s v="amzvid"/>
    <n v="86"/>
    <n v="-2"/>
    <n v="1970"/>
  </r>
  <r>
    <x v="114"/>
    <x v="114"/>
    <n v="2000"/>
    <x v="2"/>
    <x v="83"/>
    <s v="zh"/>
    <s v=""/>
    <x v="7"/>
    <n v="85"/>
    <n v="8.1"/>
    <n v="81"/>
    <n v="30233"/>
    <n v="94"/>
    <n v="86"/>
    <n v="51"/>
    <n v="88"/>
    <n v="40627"/>
    <n v="90"/>
    <n v="106448"/>
    <n v="77"/>
    <s v=""/>
    <n v="86"/>
    <n v="-2"/>
    <n v="2000"/>
  </r>
  <r>
    <x v="115"/>
    <x v="115"/>
    <n v="2016"/>
    <x v="74"/>
    <x v="84"/>
    <s v="ko"/>
    <s v=""/>
    <x v="7"/>
    <n v="85"/>
    <n v="8.1"/>
    <n v="81"/>
    <n v="186305"/>
    <n v="85"/>
    <n v="84"/>
    <n v="162"/>
    <n v="88"/>
    <n v="198447"/>
    <n v="88"/>
    <n v="572569"/>
    <n v="90"/>
    <s v=""/>
    <n v="86"/>
    <n v="-4"/>
    <n v="2010"/>
  </r>
  <r>
    <x v="116"/>
    <x v="116"/>
    <n v="2022"/>
    <x v="2"/>
    <x v="85"/>
    <s v="en"/>
    <s v=""/>
    <x v="7"/>
    <n v="86"/>
    <n v="7.6"/>
    <n v="76"/>
    <n v="113280"/>
    <n v="95"/>
    <n v="90"/>
    <n v="145"/>
    <m/>
    <n v="384741"/>
    <n v="84"/>
    <n v="1151527"/>
    <n v="85"/>
    <s v=""/>
    <n v="86"/>
    <n v="90"/>
    <n v="2020"/>
  </r>
  <r>
    <x v="117"/>
    <x v="117"/>
    <n v="1980"/>
    <x v="2"/>
    <x v="9"/>
    <s v="en"/>
    <s v="Won 2 Oscars. Another 23 wins &amp; 24 nominations."/>
    <x v="8"/>
    <n v="85"/>
    <n v="8.1"/>
    <n v="81"/>
    <n v="393517"/>
    <n v="90"/>
    <n v="90"/>
    <n v="91"/>
    <n v="89"/>
    <n v="228557"/>
    <n v="84"/>
    <n v="421824"/>
    <n v="81"/>
    <s v="mubi, prime, itunes, amzvid, hbm"/>
    <n v="85.83"/>
    <n v="1"/>
    <n v="1980"/>
  </r>
  <r>
    <x v="118"/>
    <x v="118"/>
    <n v="2004"/>
    <x v="2"/>
    <x v="68"/>
    <s v="ja"/>
    <s v="13 wins &amp; 10 nominations."/>
    <x v="45"/>
    <n v="85"/>
    <n v="8"/>
    <n v="80"/>
    <n v="33279"/>
    <n v="88"/>
    <n v="82"/>
    <n v="51"/>
    <n v="89"/>
    <n v="30957"/>
    <n v="88"/>
    <n v="72551"/>
    <n v="88"/>
    <s v="itunes"/>
    <n v="85.83"/>
    <n v="-7"/>
    <n v="2000"/>
  </r>
  <r>
    <x v="119"/>
    <x v="119"/>
    <n v="1991"/>
    <x v="63"/>
    <x v="70"/>
    <s v="en"/>
    <s v="Won 4 Oscars. Another 20 wins &amp; 21 nominations."/>
    <x v="46"/>
    <n v="85"/>
    <n v="8.6"/>
    <n v="86"/>
    <n v="1224062"/>
    <n v="75"/>
    <n v="83"/>
    <n v="80"/>
    <n v="90"/>
    <n v="732641"/>
    <n v="86"/>
    <n v="696537"/>
    <n v="95"/>
    <s v="paramount, itunes, amzvid, hbm"/>
    <n v="85.83"/>
    <n v="-7"/>
    <n v="1990"/>
  </r>
  <r>
    <x v="120"/>
    <x v="120"/>
    <n v="1968"/>
    <x v="75"/>
    <x v="38"/>
    <s v="en"/>
    <s v=""/>
    <x v="7"/>
    <n v="86"/>
    <n v="8"/>
    <n v="80"/>
    <n v="247212"/>
    <n v="96"/>
    <n v="90"/>
    <n v="94"/>
    <n v="84"/>
    <n v="198214"/>
    <n v="84"/>
    <n v="446121"/>
    <n v="81"/>
    <s v="prime, paramount, itunes, amzvid"/>
    <n v="85.83"/>
    <n v="6"/>
    <n v="1960"/>
  </r>
  <r>
    <x v="121"/>
    <x v="121"/>
    <n v="1940"/>
    <x v="13"/>
    <x v="86"/>
    <s v="en"/>
    <s v="Won 2 Oscars. Another 3 wins &amp; 4 nominations."/>
    <x v="13"/>
    <n v="85"/>
    <n v="7.8"/>
    <n v="78"/>
    <n v="75972"/>
    <n v="96"/>
    <n v="91"/>
    <n v="58"/>
    <n v="88"/>
    <n v="57062"/>
    <n v="80"/>
    <n v="76512"/>
    <n v="82"/>
    <s v="amzvid, hbm"/>
    <n v="85.83"/>
    <n v="3"/>
    <n v="1940"/>
  </r>
  <r>
    <x v="122"/>
    <x v="122"/>
    <n v="1955"/>
    <x v="15"/>
    <x v="76"/>
    <s v="fr"/>
    <s v="4 wins."/>
    <x v="47"/>
    <n v="84"/>
    <n v="8.1"/>
    <n v="81"/>
    <n v="71254"/>
    <m/>
    <n v="87"/>
    <n v="57"/>
    <n v="89"/>
    <n v="30133"/>
    <n v="84"/>
    <n v="69607"/>
    <n v="88"/>
    <s v="amzvid, hbm"/>
    <n v="85.8"/>
    <n v="-2"/>
    <n v="1950"/>
  </r>
  <r>
    <x v="123"/>
    <x v="123"/>
    <n v="2015"/>
    <x v="76"/>
    <x v="87"/>
    <s v="en"/>
    <s v="1 win &amp; 3 nominations."/>
    <x v="9"/>
    <n v="86"/>
    <n v="8.1"/>
    <n v="81"/>
    <n v="1159013"/>
    <n v="90"/>
    <n v="87"/>
    <n v="342"/>
    <n v="83"/>
    <n v="643941"/>
    <n v="84"/>
    <n v="1670956"/>
    <n v="89"/>
    <s v="itunes, amzvid, hbm"/>
    <n v="85.67"/>
    <n v="4"/>
    <n v="2010"/>
  </r>
  <r>
    <x v="124"/>
    <x v="124"/>
    <n v="1962"/>
    <x v="2"/>
    <x v="88"/>
    <s v="en"/>
    <s v="Won 3 Oscars. Another 10 wins &amp; 16 nominations."/>
    <x v="48"/>
    <n v="85"/>
    <n v="8.3000000000000007"/>
    <n v="83"/>
    <n v="341855"/>
    <n v="88"/>
    <n v="89"/>
    <n v="57"/>
    <n v="89"/>
    <n v="188021"/>
    <n v="82"/>
    <n v="205312"/>
    <n v="83"/>
    <s v="amzvid"/>
    <n v="85.67"/>
    <n v="0"/>
    <n v="1960"/>
  </r>
  <r>
    <x v="125"/>
    <x v="125"/>
    <n v="2000"/>
    <x v="77"/>
    <x v="89"/>
    <s v="zh"/>
    <s v="Won 4 Oscars. Another 94 wins &amp; 124 nominations."/>
    <x v="15"/>
    <n v="86"/>
    <n v="7.9"/>
    <n v="79"/>
    <n v="287305"/>
    <n v="94"/>
    <n v="89"/>
    <n v="129"/>
    <n v="83"/>
    <n v="355015"/>
    <n v="82"/>
    <n v="209205"/>
    <n v="87"/>
    <s v="itunes, amzvid"/>
    <n v="85.67"/>
    <n v="6"/>
    <n v="2000"/>
  </r>
  <r>
    <x v="126"/>
    <x v="126"/>
    <n v="1968"/>
    <x v="78"/>
    <x v="11"/>
    <s v="en"/>
    <s v="Won 1 Oscar. Another 14 wins &amp; 6 nominations."/>
    <x v="11"/>
    <n v="86"/>
    <n v="8.3000000000000007"/>
    <n v="83"/>
    <n v="748841"/>
    <n v="84"/>
    <n v="90"/>
    <n v="98"/>
    <n v="87"/>
    <n v="555464"/>
    <n v="86"/>
    <n v="1065318"/>
    <n v="84"/>
    <s v="hbo, itunes, amzvid, hbm"/>
    <n v="85.67"/>
    <n v="3"/>
    <n v="1960"/>
  </r>
  <r>
    <x v="127"/>
    <x v="127"/>
    <n v="2024"/>
    <x v="79"/>
    <x v="90"/>
    <s v="en"/>
    <s v=""/>
    <x v="7"/>
    <n v="86"/>
    <n v="8.5"/>
    <n v="85"/>
    <n v="612042"/>
    <n v="79"/>
    <n v="83"/>
    <n v="262"/>
    <m/>
    <n v="771597"/>
    <n v="88"/>
    <n v="2282092"/>
    <n v="93"/>
    <s v="hbo"/>
    <n v="85.6"/>
    <n v="83"/>
    <n v="2020"/>
  </r>
  <r>
    <x v="128"/>
    <x v="128"/>
    <n v="2024"/>
    <x v="80"/>
    <x v="91"/>
    <s v="lv"/>
    <s v=""/>
    <x v="7"/>
    <n v="86"/>
    <n v="7.9"/>
    <n v="79"/>
    <n v="58616"/>
    <n v="86"/>
    <n v="85"/>
    <n v="96"/>
    <m/>
    <m/>
    <n v="82"/>
    <n v="552498"/>
    <n v="96"/>
    <s v=""/>
    <n v="85.6"/>
    <n v="85"/>
    <n v="2020"/>
  </r>
  <r>
    <x v="129"/>
    <x v="129"/>
    <n v="2008"/>
    <x v="81"/>
    <x v="92"/>
    <s v="he"/>
    <s v="Nominated for 1 Oscar. Another 54 wins &amp; 41 nominations."/>
    <x v="15"/>
    <n v="85"/>
    <n v="8"/>
    <n v="80"/>
    <n v="61610"/>
    <n v="91"/>
    <n v="86"/>
    <n v="107"/>
    <n v="87"/>
    <n v="45622"/>
    <n v="80"/>
    <n v="48820"/>
    <n v="89"/>
    <s v="itunes, amzvid"/>
    <n v="85.5"/>
    <n v="-1"/>
    <n v="2000"/>
  </r>
  <r>
    <x v="130"/>
    <x v="130"/>
    <n v="2007"/>
    <x v="82"/>
    <x v="93"/>
    <s v="fr"/>
    <s v="Nominated for 1 Oscar. Another 29 wins &amp; 48 nominations."/>
    <x v="15"/>
    <n v="85"/>
    <n v="8"/>
    <n v="80"/>
    <n v="102558"/>
    <n v="90"/>
    <n v="84"/>
    <n v="114"/>
    <n v="88"/>
    <n v="90152"/>
    <n v="84"/>
    <n v="169387"/>
    <n v="87"/>
    <s v="itunes, amzvid"/>
    <n v="85.5"/>
    <n v="-4"/>
    <n v="2000"/>
  </r>
  <r>
    <x v="131"/>
    <x v="131"/>
    <n v="2018"/>
    <x v="71"/>
    <x v="94"/>
    <s v="en"/>
    <s v=""/>
    <x v="7"/>
    <n v="85"/>
    <n v="8.3000000000000007"/>
    <n v="83"/>
    <n v="27589"/>
    <n v="85"/>
    <n v="87"/>
    <n v="138"/>
    <n v="90"/>
    <n v="29872"/>
    <n v="84"/>
    <n v="80612"/>
    <n v="84"/>
    <s v="itunes, amzvid"/>
    <n v="85.5"/>
    <n v="-3"/>
    <n v="2010"/>
  </r>
  <r>
    <x v="132"/>
    <x v="132"/>
    <n v="2015"/>
    <x v="83"/>
    <x v="95"/>
    <s v="en"/>
    <s v="4 nominations."/>
    <x v="29"/>
    <n v="85"/>
    <n v="8.1"/>
    <n v="81"/>
    <n v="860273"/>
    <n v="94"/>
    <n v="90"/>
    <n v="254"/>
    <n v="86"/>
    <n v="851631"/>
    <n v="76"/>
    <n v="2277929"/>
    <n v="86"/>
    <s v="disney, itunes, amzvid"/>
    <n v="85.5"/>
    <n v="4"/>
    <n v="2010"/>
  </r>
  <r>
    <x v="133"/>
    <x v="133"/>
    <n v="2009"/>
    <x v="84"/>
    <x v="95"/>
    <s v="en"/>
    <s v="Won 2 Oscars. Another 79 wins &amp; 59 nominations."/>
    <x v="6"/>
    <n v="85"/>
    <n v="8.3000000000000007"/>
    <n v="83"/>
    <n v="1173646"/>
    <n v="88"/>
    <n v="87"/>
    <n v="201"/>
    <n v="87"/>
    <n v="1493295"/>
    <n v="82"/>
    <n v="2069307"/>
    <n v="86"/>
    <s v="disney, itunes, amzvid"/>
    <n v="85.5"/>
    <n v="0"/>
    <n v="2000"/>
  </r>
  <r>
    <x v="134"/>
    <x v="134"/>
    <n v="2017"/>
    <x v="85"/>
    <x v="96"/>
    <s v="en"/>
    <s v=""/>
    <x v="7"/>
    <n v="85"/>
    <n v="7.8"/>
    <n v="78"/>
    <n v="337407"/>
    <n v="94"/>
    <n v="90"/>
    <n v="237"/>
    <n v="84"/>
    <n v="691944"/>
    <n v="78"/>
    <n v="2041245"/>
    <n v="89"/>
    <s v="prime, hbo, itunes, hbm"/>
    <n v="85.5"/>
    <n v="6"/>
    <n v="2010"/>
  </r>
  <r>
    <x v="135"/>
    <x v="135"/>
    <n v="2023"/>
    <x v="32"/>
    <x v="81"/>
    <s v="en"/>
    <s v=""/>
    <x v="7"/>
    <n v="85"/>
    <n v="8.3000000000000007"/>
    <n v="83"/>
    <n v="864475"/>
    <n v="90"/>
    <n v="87"/>
    <n v="302"/>
    <m/>
    <n v="1000378"/>
    <n v="84"/>
    <n v="2917402"/>
    <n v="83"/>
    <s v=""/>
    <n v="85.4"/>
    <n v="87"/>
    <n v="2020"/>
  </r>
  <r>
    <x v="136"/>
    <x v="136"/>
    <n v="2020"/>
    <x v="2"/>
    <x v="97"/>
    <s v="en"/>
    <s v=""/>
    <x v="7"/>
    <n v="85"/>
    <n v="8.1999999999999993"/>
    <n v="82"/>
    <n v="211198"/>
    <n v="88"/>
    <n v="87"/>
    <n v="184"/>
    <m/>
    <n v="119435"/>
    <n v="86"/>
    <n v="353409"/>
    <n v="84"/>
    <s v="amzvid"/>
    <n v="85.4"/>
    <n v="87"/>
    <n v="2020"/>
  </r>
  <r>
    <x v="137"/>
    <x v="137"/>
    <n v="1954"/>
    <x v="2"/>
    <x v="59"/>
    <s v="it"/>
    <s v="Won 1 Oscar. Another 10 wins &amp; 4 nominations."/>
    <x v="2"/>
    <n v="84"/>
    <n v="8"/>
    <n v="80"/>
    <n v="68087"/>
    <m/>
    <n v="90"/>
    <n v="55"/>
    <n v="89"/>
    <n v="37323"/>
    <n v="84"/>
    <n v="69523"/>
    <n v="84"/>
    <s v="hbm"/>
    <n v="85.4"/>
    <n v="1"/>
    <n v="1950"/>
  </r>
  <r>
    <x v="138"/>
    <x v="138"/>
    <n v="2007"/>
    <x v="2"/>
    <x v="98"/>
    <s v="ro"/>
    <s v="Nominated for 1 Golden Globe. Another 42 wins &amp; 45 nominations."/>
    <x v="49"/>
    <n v="85"/>
    <n v="7.9"/>
    <n v="79"/>
    <n v="64547"/>
    <n v="97"/>
    <n v="87"/>
    <n v="81"/>
    <n v="83"/>
    <n v="34030"/>
    <n v="84"/>
    <n v="48502"/>
    <n v="82"/>
    <s v="itunes, amzvid"/>
    <n v="85.33"/>
    <n v="4"/>
    <n v="2000"/>
  </r>
  <r>
    <x v="139"/>
    <x v="139"/>
    <n v="2014"/>
    <x v="61"/>
    <x v="99"/>
    <s v="en"/>
    <s v="Won 4 Oscars. Another 114 wins &amp; 197 nominations."/>
    <x v="50"/>
    <n v="85"/>
    <n v="8.1"/>
    <n v="81"/>
    <n v="921664"/>
    <n v="88"/>
    <n v="86"/>
    <n v="231"/>
    <n v="84"/>
    <n v="797026"/>
    <n v="84"/>
    <n v="2192851"/>
    <n v="89"/>
    <s v="hulu, itunes, amzvid, hbm"/>
    <n v="85.33"/>
    <n v="2"/>
    <n v="2010"/>
  </r>
  <r>
    <x v="140"/>
    <x v="140"/>
    <n v="2003"/>
    <x v="86"/>
    <x v="33"/>
    <s v="en"/>
    <s v="Won 1 Oscar. Another 46 wins &amp; 50 nominations."/>
    <x v="6"/>
    <n v="85"/>
    <n v="8.1999999999999993"/>
    <n v="82"/>
    <n v="1153261"/>
    <n v="90"/>
    <n v="88"/>
    <n v="136"/>
    <n v="84"/>
    <n v="22787152"/>
    <n v="80"/>
    <n v="1647744"/>
    <n v="88"/>
    <s v="disney, itunes, amzvid"/>
    <n v="85.33"/>
    <n v="4"/>
    <n v="2000"/>
  </r>
  <r>
    <x v="141"/>
    <x v="141"/>
    <n v="1940"/>
    <x v="87"/>
    <x v="4"/>
    <s v="en"/>
    <s v="Won 2 Oscars. Another 3 wins &amp; 9 nominations."/>
    <x v="8"/>
    <n v="85"/>
    <n v="8.1"/>
    <n v="81"/>
    <n v="153711"/>
    <n v="86"/>
    <n v="88"/>
    <n v="87"/>
    <n v="88"/>
    <n v="68440"/>
    <n v="82"/>
    <n v="125899"/>
    <n v="87"/>
    <s v=""/>
    <n v="85.33"/>
    <n v="0"/>
    <n v="1940"/>
  </r>
  <r>
    <x v="142"/>
    <x v="142"/>
    <n v="1997"/>
    <x v="88"/>
    <x v="7"/>
    <s v="ja"/>
    <s v="13 wins &amp; 5 nominations."/>
    <x v="4"/>
    <n v="84"/>
    <n v="8.3000000000000007"/>
    <n v="83"/>
    <n v="455770"/>
    <n v="76"/>
    <n v="80"/>
    <n v="76"/>
    <n v="91"/>
    <n v="506502"/>
    <n v="88"/>
    <n v="1073861"/>
    <n v="94"/>
    <s v="itunes, amzvid, hbm"/>
    <n v="85.33"/>
    <n v="-11"/>
    <n v="1990"/>
  </r>
  <r>
    <x v="143"/>
    <x v="143"/>
    <n v="2012"/>
    <x v="64"/>
    <x v="5"/>
    <s v="en"/>
    <s v="Won 2 Oscars. Another 65 wins &amp; 105 nominations."/>
    <x v="51"/>
    <n v="85"/>
    <n v="8.5"/>
    <n v="85"/>
    <n v="1777847"/>
    <n v="81"/>
    <n v="80"/>
    <n v="251"/>
    <n v="88"/>
    <n v="1025468"/>
    <n v="86"/>
    <n v="2213921"/>
    <n v="92"/>
    <s v="starz, itunes, amzvid"/>
    <n v="85.33"/>
    <n v="-8"/>
    <n v="2010"/>
  </r>
  <r>
    <x v="144"/>
    <x v="144"/>
    <n v="1951"/>
    <x v="17"/>
    <x v="4"/>
    <s v="en"/>
    <s v="Nominated for 1 Oscar. Another 1 win &amp; 1 nomination."/>
    <x v="52"/>
    <n v="85"/>
    <n v="7.9"/>
    <n v="79"/>
    <n v="145086"/>
    <n v="88"/>
    <n v="88"/>
    <n v="53"/>
    <n v="88"/>
    <n v="68681"/>
    <n v="82"/>
    <n v="134227"/>
    <n v="87"/>
    <s v="itunes, amzvid"/>
    <n v="85.33"/>
    <n v="0"/>
    <n v="1950"/>
  </r>
  <r>
    <x v="145"/>
    <x v="145"/>
    <n v="1962"/>
    <x v="89"/>
    <x v="100"/>
    <s v="en"/>
    <s v="Nominated for 2 Oscars. Another 7 wins &amp; 4 nominations."/>
    <x v="53"/>
    <n v="85"/>
    <n v="7.9"/>
    <n v="79"/>
    <n v="82236"/>
    <n v="94"/>
    <n v="90"/>
    <n v="55"/>
    <n v="86"/>
    <n v="36997"/>
    <n v="80"/>
    <n v="48018"/>
    <n v="83"/>
    <s v="prime, itunes, amzvid"/>
    <n v="85.33"/>
    <n v="4"/>
    <n v="1960"/>
  </r>
  <r>
    <x v="146"/>
    <x v="146"/>
    <n v="2004"/>
    <x v="90"/>
    <x v="7"/>
    <s v="ja"/>
    <s v="Nominated for 1 Oscar. Another 16 wins &amp; 15 nominations."/>
    <x v="26"/>
    <n v="84"/>
    <n v="8.1999999999999993"/>
    <n v="82"/>
    <n v="478277"/>
    <n v="82"/>
    <n v="77"/>
    <n v="124"/>
    <n v="90"/>
    <n v="578280"/>
    <n v="86"/>
    <n v="1640560"/>
    <n v="95"/>
    <s v="itunes, amzvid, hbm"/>
    <n v="85.33"/>
    <n v="-13"/>
    <n v="2000"/>
  </r>
  <r>
    <x v="147"/>
    <x v="147"/>
    <n v="1996"/>
    <x v="0"/>
    <x v="101"/>
    <s v="en"/>
    <s v="Nominated for 1 Oscar. Another 22 wins &amp; 22 nominations."/>
    <x v="4"/>
    <n v="85"/>
    <n v="8.1"/>
    <n v="81"/>
    <n v="746303"/>
    <n v="83"/>
    <n v="83"/>
    <n v="67"/>
    <n v="89"/>
    <n v="500240"/>
    <n v="84"/>
    <n v="872482"/>
    <n v="92"/>
    <s v="itunes, amzvid"/>
    <n v="85.33"/>
    <n v="-6"/>
    <n v="1990"/>
  </r>
  <r>
    <x v="148"/>
    <x v="148"/>
    <n v="1954"/>
    <x v="91"/>
    <x v="102"/>
    <s v="en"/>
    <s v="Won 8 Oscars. Another 23 wins &amp; 7 nominations."/>
    <x v="10"/>
    <n v="84"/>
    <n v="8.1"/>
    <n v="81"/>
    <n v="171135"/>
    <n v="91"/>
    <n v="92"/>
    <n v="72"/>
    <n v="91"/>
    <n v="73211"/>
    <n v="84"/>
    <n v="114779"/>
    <n v="72"/>
    <s v="itunes, amzvid, hbm"/>
    <n v="85.17"/>
    <n v="1"/>
    <n v="1950"/>
  </r>
  <r>
    <x v="149"/>
    <x v="149"/>
    <n v="1977"/>
    <x v="6"/>
    <x v="103"/>
    <s v="en"/>
    <s v="Won 4 Oscars. Another 27 wins &amp; 7 nominations."/>
    <x v="8"/>
    <n v="84"/>
    <n v="7.9"/>
    <n v="79"/>
    <n v="283270"/>
    <n v="92"/>
    <n v="91"/>
    <n v="83"/>
    <n v="88"/>
    <n v="192804"/>
    <n v="80"/>
    <n v="270384"/>
    <n v="80"/>
    <s v="prime, itunes, amzvid"/>
    <n v="85"/>
    <n v="3"/>
    <n v="1970"/>
  </r>
  <r>
    <x v="150"/>
    <x v="150"/>
    <n v="2013"/>
    <x v="92"/>
    <x v="104"/>
    <s v="ja"/>
    <s v="Nominated for 1 Oscar. Another 11 wins &amp; 30 nominations."/>
    <x v="54"/>
    <n v="84"/>
    <n v="8"/>
    <n v="80"/>
    <n v="57724"/>
    <n v="89"/>
    <n v="85"/>
    <n v="75"/>
    <n v="87"/>
    <n v="79846"/>
    <n v="84"/>
    <n v="211180"/>
    <n v="85"/>
    <s v="amzvid, itunes, hbm"/>
    <n v="85"/>
    <n v="-2"/>
    <n v="2010"/>
  </r>
  <r>
    <x v="151"/>
    <x v="151"/>
    <n v="1975"/>
    <x v="35"/>
    <x v="2"/>
    <s v="en"/>
    <s v="Won 1 Oscar. Another 15 wins &amp; 17 nominations."/>
    <x v="55"/>
    <n v="85"/>
    <n v="8"/>
    <n v="80"/>
    <n v="280757"/>
    <n v="86"/>
    <n v="86"/>
    <n v="67"/>
    <n v="87"/>
    <n v="187550"/>
    <n v="86"/>
    <n v="341549"/>
    <n v="85"/>
    <s v="itunes, amzvid"/>
    <n v="85"/>
    <n v="-1"/>
    <n v="1970"/>
  </r>
  <r>
    <x v="152"/>
    <x v="152"/>
    <n v="2019"/>
    <x v="2"/>
    <x v="105"/>
    <s v="en"/>
    <s v=""/>
    <x v="7"/>
    <n v="85"/>
    <n v="7.9"/>
    <n v="79"/>
    <n v="359338"/>
    <n v="94"/>
    <n v="90"/>
    <n v="236"/>
    <n v="83"/>
    <n v="391797"/>
    <n v="80"/>
    <n v="1162129"/>
    <n v="84"/>
    <s v="netflix"/>
    <n v="85"/>
    <n v="7"/>
    <n v="2010"/>
  </r>
  <r>
    <x v="153"/>
    <x v="153"/>
    <n v="2004"/>
    <x v="2"/>
    <x v="106"/>
    <s v="en"/>
    <s v="Won 4 Oscars. Another 79 wins &amp; 49 nominations."/>
    <x v="11"/>
    <n v="84"/>
    <n v="8.1"/>
    <n v="81"/>
    <n v="743174"/>
    <n v="86"/>
    <n v="85"/>
    <n v="155"/>
    <n v="87"/>
    <n v="382716"/>
    <n v="80"/>
    <n v="337065"/>
    <n v="91"/>
    <s v="paramount, itunes, amzvid"/>
    <n v="85"/>
    <n v="-2"/>
    <n v="2000"/>
  </r>
  <r>
    <x v="154"/>
    <x v="154"/>
    <n v="1941"/>
    <x v="93"/>
    <x v="107"/>
    <s v="en"/>
    <s v="Nominated for 3 Oscars. Another 2 wins."/>
    <x v="9"/>
    <n v="84"/>
    <n v="7.9"/>
    <n v="79"/>
    <n v="170463"/>
    <n v="97"/>
    <n v="93"/>
    <n v="77"/>
    <n v="87"/>
    <n v="79699"/>
    <n v="78"/>
    <n v="122938"/>
    <n v="76"/>
    <s v="itunes, amzvid, hbm"/>
    <n v="85"/>
    <n v="6"/>
    <n v="1940"/>
  </r>
  <r>
    <x v="155"/>
    <x v="155"/>
    <n v="2016"/>
    <x v="71"/>
    <x v="108"/>
    <s v="en"/>
    <s v=""/>
    <x v="7"/>
    <n v="85"/>
    <n v="8.1999999999999993"/>
    <n v="82"/>
    <n v="38435"/>
    <n v="81"/>
    <n v="86"/>
    <n v="63"/>
    <n v="88"/>
    <n v="38816"/>
    <n v="86"/>
    <n v="109670"/>
    <n v="87"/>
    <s v="netflix"/>
    <n v="85"/>
    <n v="-2"/>
    <n v="2010"/>
  </r>
  <r>
    <x v="156"/>
    <x v="156"/>
    <n v="2010"/>
    <x v="32"/>
    <x v="109"/>
    <s v="en"/>
    <s v="Won 4 Oscars. Another 115 wins &amp; 161 nominations."/>
    <x v="56"/>
    <n v="84"/>
    <n v="8"/>
    <n v="80"/>
    <n v="719923"/>
    <n v="88"/>
    <n v="87"/>
    <n v="218"/>
    <n v="88"/>
    <n v="226990"/>
    <n v="76"/>
    <n v="391088"/>
    <n v="91"/>
    <s v="amzvid"/>
    <n v="85"/>
    <n v="-1"/>
    <n v="2010"/>
  </r>
  <r>
    <x v="157"/>
    <x v="157"/>
    <n v="2004"/>
    <x v="3"/>
    <x v="110"/>
    <s v="de"/>
    <s v=""/>
    <x v="7"/>
    <n v="84"/>
    <n v="8.1999999999999993"/>
    <n v="82"/>
    <n v="386690"/>
    <n v="82"/>
    <n v="81"/>
    <n v="76"/>
    <n v="90"/>
    <n v="87605"/>
    <n v="82"/>
    <n v="121453"/>
    <n v="93"/>
    <s v="prime, itunes, amzvid"/>
    <n v="85"/>
    <n v="-9"/>
    <n v="2000"/>
  </r>
  <r>
    <x v="158"/>
    <x v="158"/>
    <n v="2007"/>
    <x v="32"/>
    <x v="111"/>
    <s v="fr"/>
    <s v="Nominated for 4 Oscars. Another 64 wins &amp; 86 nominations."/>
    <x v="4"/>
    <n v="84"/>
    <n v="8"/>
    <n v="80"/>
    <n v="111563"/>
    <n v="92"/>
    <n v="85"/>
    <n v="109"/>
    <n v="88"/>
    <n v="115668"/>
    <n v="82"/>
    <n v="46838"/>
    <n v="83"/>
    <s v="amzvid"/>
    <n v="85"/>
    <n v="-3"/>
    <n v="2000"/>
  </r>
  <r>
    <x v="159"/>
    <x v="159"/>
    <n v="2017"/>
    <x v="94"/>
    <x v="65"/>
    <s v="en"/>
    <s v=""/>
    <x v="7"/>
    <n v="84"/>
    <n v="8.4"/>
    <n v="84"/>
    <n v="643266"/>
    <n v="81"/>
    <n v="83"/>
    <n v="213"/>
    <n v="91"/>
    <n v="693918"/>
    <n v="82"/>
    <n v="2021496"/>
    <n v="89"/>
    <s v="disney, itunes, amzvid"/>
    <n v="85"/>
    <n v="-8"/>
    <n v="2010"/>
  </r>
  <r>
    <x v="160"/>
    <x v="160"/>
    <n v="2012"/>
    <x v="11"/>
    <x v="112"/>
    <s v="fr"/>
    <s v=""/>
    <x v="7"/>
    <n v="85"/>
    <n v="7.9"/>
    <n v="79"/>
    <n v="108046"/>
    <n v="95"/>
    <n v="89"/>
    <n v="180"/>
    <n v="81"/>
    <n v="53864"/>
    <n v="84"/>
    <n v="119569"/>
    <n v="81"/>
    <s v="itunes, amzvid"/>
    <n v="84.83"/>
    <n v="8"/>
    <n v="2010"/>
  </r>
  <r>
    <x v="161"/>
    <x v="161"/>
    <n v="1999"/>
    <x v="2"/>
    <x v="113"/>
    <s v="en"/>
    <s v="Nominated for 1 Oscar. Another 18 wins &amp; 30 nominations."/>
    <x v="57"/>
    <n v="84"/>
    <n v="8"/>
    <n v="80"/>
    <n v="103337"/>
    <n v="86"/>
    <n v="83"/>
    <n v="74"/>
    <n v="87"/>
    <n v="59890"/>
    <n v="84"/>
    <n v="116409"/>
    <n v="89"/>
    <s v="disney, itunes, amzvid"/>
    <n v="84.83"/>
    <n v="-4"/>
    <n v="1990"/>
  </r>
  <r>
    <x v="162"/>
    <x v="162"/>
    <n v="1971"/>
    <x v="95"/>
    <x v="114"/>
    <s v="en"/>
    <s v="Won 5 Oscars. Another 17 wins &amp; 10 nominations."/>
    <x v="14"/>
    <n v="85"/>
    <n v="7.7"/>
    <n v="77"/>
    <n v="143317"/>
    <n v="94"/>
    <n v="90"/>
    <n v="64"/>
    <n v="84"/>
    <n v="81276"/>
    <n v="80"/>
    <n v="154622"/>
    <n v="84"/>
    <s v="itunes, amzvid"/>
    <n v="84.83"/>
    <n v="6"/>
    <n v="1970"/>
  </r>
  <r>
    <x v="163"/>
    <x v="163"/>
    <n v="1974"/>
    <x v="96"/>
    <x v="115"/>
    <s v="en"/>
    <s v="Nominated for 2 Oscars. Another 9 wins &amp; 5 nominations."/>
    <x v="14"/>
    <n v="84"/>
    <n v="8"/>
    <n v="80"/>
    <n v="174783"/>
    <n v="83"/>
    <n v="85"/>
    <n v="55"/>
    <n v="88"/>
    <n v="198530"/>
    <n v="80"/>
    <n v="176284"/>
    <n v="93"/>
    <s v="hbm"/>
    <n v="84.83"/>
    <n v="-3"/>
    <n v="1970"/>
  </r>
  <r>
    <x v="164"/>
    <x v="164"/>
    <n v="1964"/>
    <x v="97"/>
    <x v="116"/>
    <s v="en"/>
    <s v="Nominated for 2 Oscars. Another 1 win &amp; 5 nominations."/>
    <x v="58"/>
    <n v="84"/>
    <n v="7.5"/>
    <n v="75"/>
    <n v="49501"/>
    <n v="96"/>
    <n v="88"/>
    <n v="65"/>
    <n v="85"/>
    <n v="62888"/>
    <n v="76"/>
    <n v="87602"/>
    <n v="89"/>
    <s v="itunes, amzvid, hbm"/>
    <n v="84.83"/>
    <n v="3"/>
    <n v="1960"/>
  </r>
  <r>
    <x v="165"/>
    <x v="165"/>
    <n v="2019"/>
    <x v="98"/>
    <x v="9"/>
    <s v="en"/>
    <s v=""/>
    <x v="7"/>
    <n v="85"/>
    <n v="7.8"/>
    <n v="78"/>
    <n v="450758"/>
    <n v="94"/>
    <n v="90"/>
    <n v="280"/>
    <n v="83"/>
    <n v="255684"/>
    <n v="78"/>
    <n v="745713"/>
    <n v="86"/>
    <s v="netflix"/>
    <n v="84.83"/>
    <n v="7"/>
    <n v="2010"/>
  </r>
  <r>
    <x v="166"/>
    <x v="166"/>
    <n v="2018"/>
    <x v="99"/>
    <x v="117"/>
    <s v="en"/>
    <s v=""/>
    <x v="7"/>
    <n v="84"/>
    <n v="8.1"/>
    <n v="81"/>
    <n v="81251"/>
    <n v="83"/>
    <n v="82"/>
    <n v="92"/>
    <n v="89"/>
    <n v="61687"/>
    <n v="82"/>
    <n v="178659"/>
    <n v="92"/>
    <s v="hulu, disney, netflix, itunes, amzvid"/>
    <n v="84.83"/>
    <n v="-7"/>
    <n v="2010"/>
  </r>
  <r>
    <x v="167"/>
    <x v="167"/>
    <n v="2016"/>
    <x v="100"/>
    <x v="27"/>
    <s v="en"/>
    <s v=""/>
    <x v="7"/>
    <n v="85"/>
    <n v="8"/>
    <n v="80"/>
    <n v="713968"/>
    <n v="94"/>
    <n v="89"/>
    <n v="333"/>
    <n v="80"/>
    <n v="1113199"/>
    <n v="82"/>
    <n v="3192797"/>
    <n v="84"/>
    <s v="itunes, amzvid"/>
    <n v="84.83"/>
    <n v="9"/>
    <n v="2010"/>
  </r>
  <r>
    <x v="168"/>
    <x v="168"/>
    <n v="1968"/>
    <x v="101"/>
    <x v="118"/>
    <s v="en"/>
    <s v="1 win."/>
    <x v="59"/>
    <n v="85"/>
    <n v="7.8"/>
    <n v="78"/>
    <n v="144684"/>
    <n v="89"/>
    <n v="89"/>
    <n v="85"/>
    <n v="84"/>
    <n v="172279"/>
    <n v="80"/>
    <n v="254945"/>
    <n v="89"/>
    <s v="peacock, netflix, starz, itunes, amzvid, hbm"/>
    <n v="84.83"/>
    <n v="5"/>
    <n v="1960"/>
  </r>
  <r>
    <x v="169"/>
    <x v="169"/>
    <n v="1992"/>
    <x v="9"/>
    <x v="106"/>
    <s v="en"/>
    <s v="Won 4 Oscars. Another 36 wins &amp; 27 nominations."/>
    <x v="11"/>
    <n v="84"/>
    <n v="8.1999999999999993"/>
    <n v="82"/>
    <n v="451817"/>
    <n v="85"/>
    <n v="88"/>
    <n v="70"/>
    <n v="89"/>
    <n v="159321"/>
    <n v="84"/>
    <n v="231329"/>
    <n v="81"/>
    <s v="itunes, hbm"/>
    <n v="84.83"/>
    <n v="-1"/>
    <n v="1990"/>
  </r>
  <r>
    <x v="170"/>
    <x v="170"/>
    <n v="1984"/>
    <x v="63"/>
    <x v="70"/>
    <s v="en"/>
    <s v="5 wins &amp; 6 nominations."/>
    <x v="24"/>
    <n v="85"/>
    <n v="8.1"/>
    <n v="81"/>
    <n v="958738"/>
    <n v="84"/>
    <n v="87"/>
    <n v="76"/>
    <n v="86"/>
    <n v="747733"/>
    <n v="78"/>
    <n v="686692"/>
    <n v="92"/>
    <s v="prime, itunes, amzvid"/>
    <n v="84.67"/>
    <n v="1"/>
    <n v="1980"/>
  </r>
  <r>
    <x v="171"/>
    <x v="171"/>
    <n v="1974"/>
    <x v="18"/>
    <x v="0"/>
    <s v="en"/>
    <s v="Nominated for 3 Oscars. Another 13 wins &amp; 13 nominations."/>
    <x v="0"/>
    <n v="85"/>
    <n v="7.7"/>
    <n v="77"/>
    <n v="129280"/>
    <n v="88"/>
    <n v="90"/>
    <n v="91"/>
    <n v="86"/>
    <n v="88450"/>
    <n v="84"/>
    <n v="194526"/>
    <n v="83"/>
    <s v="prime, itunes, amzvid"/>
    <n v="84.67"/>
    <n v="4"/>
    <n v="1970"/>
  </r>
  <r>
    <x v="172"/>
    <x v="172"/>
    <n v="2010"/>
    <x v="2"/>
    <x v="119"/>
    <s v="en"/>
    <s v="Won 3 Oscars. Another 152 wins &amp; 151 nominations."/>
    <x v="1"/>
    <n v="85"/>
    <n v="7.8"/>
    <n v="78"/>
    <n v="786518"/>
    <n v="95"/>
    <n v="91"/>
    <n v="222"/>
    <n v="83"/>
    <n v="796286"/>
    <n v="78"/>
    <n v="1978430"/>
    <n v="83"/>
    <s v="netflix, prime, itunes, amzvid"/>
    <n v="84.67"/>
    <n v="8"/>
    <n v="2010"/>
  </r>
  <r>
    <x v="173"/>
    <x v="173"/>
    <n v="2019"/>
    <x v="20"/>
    <x v="120"/>
    <s v="en"/>
    <s v=""/>
    <x v="7"/>
    <n v="84"/>
    <n v="7.8"/>
    <n v="78"/>
    <n v="265269"/>
    <n v="91"/>
    <n v="87"/>
    <n v="252"/>
    <n v="88"/>
    <n v="685996"/>
    <n v="84"/>
    <n v="2004290"/>
    <n v="80"/>
    <s v="itunes, amzvid"/>
    <n v="84.67"/>
    <n v="-1"/>
    <n v="2010"/>
  </r>
  <r>
    <x v="174"/>
    <x v="174"/>
    <n v="2004"/>
    <x v="11"/>
    <x v="121"/>
    <s v="en"/>
    <s v="Nominated for 1 Oscar. Another 8 wins &amp; 21 nominations."/>
    <x v="60"/>
    <n v="84"/>
    <n v="8.1"/>
    <n v="81"/>
    <n v="300246"/>
    <n v="91"/>
    <n v="85"/>
    <n v="116"/>
    <n v="87"/>
    <n v="251191"/>
    <n v="86"/>
    <n v="610745"/>
    <n v="78"/>
    <s v="amzvid"/>
    <n v="84.67"/>
    <n v="-2"/>
    <n v="2000"/>
  </r>
  <r>
    <x v="175"/>
    <x v="175"/>
    <n v="2003"/>
    <x v="2"/>
    <x v="122"/>
    <s v="ko"/>
    <s v="12 wins &amp; 7 nominations."/>
    <x v="15"/>
    <n v="84"/>
    <n v="8"/>
    <n v="80"/>
    <n v="88675"/>
    <n v="85"/>
    <n v="81"/>
    <n v="55"/>
    <n v="89"/>
    <n v="37196"/>
    <n v="84"/>
    <n v="54075"/>
    <n v="89"/>
    <s v="itunes, amzvid"/>
    <n v="84.67"/>
    <n v="-8"/>
    <n v="2000"/>
  </r>
  <r>
    <x v="176"/>
    <x v="176"/>
    <n v="1999"/>
    <x v="102"/>
    <x v="47"/>
    <s v="en"/>
    <s v="21 wins &amp; 16 nominations."/>
    <x v="11"/>
    <n v="84"/>
    <n v="8.1"/>
    <n v="81"/>
    <n v="242282"/>
    <n v="85"/>
    <n v="83"/>
    <n v="87"/>
    <n v="87"/>
    <n v="301689"/>
    <n v="86"/>
    <n v="494409"/>
    <n v="86"/>
    <s v="itunes, amzvid"/>
    <n v="84.67"/>
    <n v="-4"/>
    <n v="1990"/>
  </r>
  <r>
    <x v="177"/>
    <x v="177"/>
    <n v="2010"/>
    <x v="103"/>
    <x v="90"/>
    <s v="fr"/>
    <s v="Nominated for 1 Oscar. Another 41 wins &amp; 12 nominations."/>
    <x v="15"/>
    <n v="84"/>
    <n v="8.3000000000000007"/>
    <n v="83"/>
    <n v="224467"/>
    <n v="80"/>
    <n v="80"/>
    <n v="100"/>
    <n v="89"/>
    <n v="125557"/>
    <n v="88"/>
    <n v="340239"/>
    <n v="88"/>
    <s v="mubi, itunes, amzvid"/>
    <n v="84.67"/>
    <n v="-9"/>
    <n v="2010"/>
  </r>
  <r>
    <x v="178"/>
    <x v="178"/>
    <n v="1975"/>
    <x v="104"/>
    <x v="11"/>
    <s v="en"/>
    <s v="Won 4 Oscars. Another 13 wins &amp; 13 nominations."/>
    <x v="9"/>
    <n v="83"/>
    <n v="8.1"/>
    <n v="81"/>
    <n v="191699"/>
    <n v="89"/>
    <n v="84"/>
    <n v="81"/>
    <n v="89"/>
    <n v="119394"/>
    <n v="88"/>
    <n v="267520"/>
    <n v="77"/>
    <s v="itunes, amzvid, hbm"/>
    <n v="84.67"/>
    <n v="-5"/>
    <n v="1970"/>
  </r>
  <r>
    <x v="179"/>
    <x v="179"/>
    <n v="2022"/>
    <x v="2"/>
    <x v="123"/>
    <s v="ga"/>
    <s v=""/>
    <x v="7"/>
    <n v="84"/>
    <n v="7.7"/>
    <n v="77"/>
    <n v="25779"/>
    <n v="89"/>
    <n v="88"/>
    <n v="87"/>
    <m/>
    <n v="25673"/>
    <n v="82"/>
    <n v="76009"/>
    <n v="87"/>
    <s v=""/>
    <n v="84.6"/>
    <n v="88"/>
    <n v="2020"/>
  </r>
  <r>
    <x v="180"/>
    <x v="180"/>
    <n v="2023"/>
    <x v="105"/>
    <x v="124"/>
    <s v="en"/>
    <s v=""/>
    <x v="7"/>
    <n v="84"/>
    <n v="7.6"/>
    <n v="76"/>
    <n v="69587"/>
    <n v="90"/>
    <n v="89"/>
    <n v="147"/>
    <m/>
    <n v="192826"/>
    <n v="78"/>
    <n v="576310"/>
    <n v="90"/>
    <s v=""/>
    <n v="84.6"/>
    <n v="89"/>
    <n v="2020"/>
  </r>
  <r>
    <x v="181"/>
    <x v="181"/>
    <n v="1956"/>
    <x v="106"/>
    <x v="125"/>
    <s v="en"/>
    <s v="1 win."/>
    <x v="61"/>
    <n v="85"/>
    <n v="7.7"/>
    <n v="77"/>
    <n v="57126"/>
    <n v="92"/>
    <n v="91"/>
    <n v="60"/>
    <n v="82"/>
    <n v="34972"/>
    <n v="76"/>
    <n v="66272"/>
    <n v="89"/>
    <s v="prime, itunes"/>
    <n v="84.5"/>
    <n v="9"/>
    <n v="1950"/>
  </r>
  <r>
    <x v="182"/>
    <x v="182"/>
    <n v="1999"/>
    <x v="107"/>
    <x v="39"/>
    <s v="en"/>
    <s v="Nominated for 1 Oscar. Another 21 wins &amp; 24 nominations."/>
    <x v="57"/>
    <n v="85"/>
    <n v="7.9"/>
    <n v="79"/>
    <n v="641688"/>
    <n v="88"/>
    <n v="87"/>
    <n v="111"/>
    <n v="83"/>
    <n v="1029005"/>
    <n v="78"/>
    <n v="1083467"/>
    <n v="92"/>
    <s v="disney, itunes, amzvid"/>
    <n v="84.5"/>
    <n v="4"/>
    <n v="1990"/>
  </r>
  <r>
    <x v="183"/>
    <x v="183"/>
    <n v="1975"/>
    <x v="108"/>
    <x v="3"/>
    <s v="en"/>
    <s v="Won 3 Oscars. Another 10 wins &amp; 14 nominations."/>
    <x v="3"/>
    <n v="84"/>
    <n v="8.1"/>
    <n v="81"/>
    <n v="689859"/>
    <n v="87"/>
    <n v="92"/>
    <n v="112"/>
    <n v="86"/>
    <n v="1006664"/>
    <n v="78"/>
    <n v="1126448"/>
    <n v="83"/>
    <s v="starz, itunes, amzvid"/>
    <n v="84.5"/>
    <n v="6"/>
    <n v="1970"/>
  </r>
  <r>
    <x v="184"/>
    <x v="184"/>
    <n v="2000"/>
    <x v="28"/>
    <x v="126"/>
    <s v="en"/>
    <s v="Won 1 Oscar. Another 50 wins &amp; 102 nominations."/>
    <x v="62"/>
    <n v="83"/>
    <n v="7.9"/>
    <n v="79"/>
    <n v="302521"/>
    <n v="90"/>
    <n v="83"/>
    <n v="121"/>
    <n v="87"/>
    <n v="382637"/>
    <n v="82"/>
    <n v="496969"/>
    <n v="86"/>
    <s v="paramount, itunes, amzvid"/>
    <n v="84.5"/>
    <n v="-4"/>
    <n v="2000"/>
  </r>
  <r>
    <x v="185"/>
    <x v="185"/>
    <n v="2014"/>
    <x v="109"/>
    <x v="127"/>
    <s v="en"/>
    <s v="Nominated for 1 Oscar. Another 11 wins &amp; 16 nominations."/>
    <x v="54"/>
    <n v="84"/>
    <n v="8"/>
    <n v="80"/>
    <n v="65443"/>
    <n v="85"/>
    <n v="84"/>
    <n v="71"/>
    <n v="89"/>
    <n v="42155"/>
    <n v="84"/>
    <n v="101315"/>
    <n v="85"/>
    <s v="itunes, amzvid"/>
    <n v="84.5"/>
    <n v="-5"/>
    <n v="2010"/>
  </r>
  <r>
    <x v="186"/>
    <x v="186"/>
    <n v="1995"/>
    <x v="11"/>
    <x v="121"/>
    <s v="en"/>
    <s v="1 win &amp; 7 nominations."/>
    <x v="32"/>
    <n v="84"/>
    <n v="8.1"/>
    <n v="81"/>
    <n v="356358"/>
    <n v="79"/>
    <n v="83"/>
    <n v="51"/>
    <n v="89"/>
    <n v="370547"/>
    <n v="86"/>
    <n v="963660"/>
    <n v="89"/>
    <s v="itunes, amzvid"/>
    <n v="84.5"/>
    <n v="-6"/>
    <n v="1990"/>
  </r>
  <r>
    <x v="187"/>
    <x v="187"/>
    <n v="1982"/>
    <x v="110"/>
    <x v="34"/>
    <s v="en"/>
    <s v="Nominated for 2 Oscars. Another 11 wins &amp; 15 nominations."/>
    <x v="11"/>
    <n v="84"/>
    <n v="8.1"/>
    <n v="81"/>
    <n v="849918"/>
    <n v="84"/>
    <n v="85"/>
    <n v="117"/>
    <n v="88"/>
    <n v="587241"/>
    <n v="82"/>
    <n v="1083638"/>
    <n v="87"/>
    <s v="itunes, amzvid"/>
    <n v="84.5"/>
    <n v="-3"/>
    <n v="1980"/>
  </r>
  <r>
    <x v="188"/>
    <x v="188"/>
    <n v="2014"/>
    <x v="2"/>
    <x v="121"/>
    <s v="en"/>
    <s v="Won 1 Oscar. Another 163 wins &amp; 189 nominations."/>
    <x v="45"/>
    <n v="85"/>
    <n v="7.9"/>
    <n v="79"/>
    <n v="374552"/>
    <n v="100"/>
    <n v="95"/>
    <n v="252"/>
    <n v="78"/>
    <n v="234140"/>
    <n v="76"/>
    <n v="522064"/>
    <n v="79"/>
    <s v="mubi, hulu, netflix, itunes, amzvid"/>
    <n v="84.5"/>
    <n v="17"/>
    <n v="2010"/>
  </r>
  <r>
    <x v="189"/>
    <x v="189"/>
    <n v="2016"/>
    <x v="2"/>
    <x v="128"/>
    <s v="en"/>
    <s v=""/>
    <x v="7"/>
    <n v="85"/>
    <n v="7.4"/>
    <n v="74"/>
    <n v="340819"/>
    <n v="99"/>
    <n v="92"/>
    <n v="265"/>
    <n v="77"/>
    <n v="402939"/>
    <n v="84"/>
    <n v="1115696"/>
    <n v="80"/>
    <s v="itunes, amzvid"/>
    <n v="84.33"/>
    <n v="15"/>
    <n v="2010"/>
  </r>
  <r>
    <x v="190"/>
    <x v="190"/>
    <n v="2015"/>
    <x v="41"/>
    <x v="129"/>
    <s v="en"/>
    <s v=""/>
    <x v="7"/>
    <n v="83"/>
    <n v="8.1"/>
    <n v="81"/>
    <n v="465914"/>
    <n v="86"/>
    <n v="85"/>
    <n v="225"/>
    <n v="89"/>
    <n v="262276"/>
    <n v="80"/>
    <n v="686364"/>
    <n v="85"/>
    <s v="itunes, amzvid, hbm"/>
    <n v="84.33"/>
    <n v="-4"/>
    <n v="2010"/>
  </r>
  <r>
    <x v="191"/>
    <x v="191"/>
    <n v="1946"/>
    <x v="93"/>
    <x v="130"/>
    <s v="en"/>
    <s v="1 win."/>
    <x v="11"/>
    <n v="84"/>
    <n v="7.9"/>
    <n v="79"/>
    <n v="92865"/>
    <n v="86"/>
    <n v="88"/>
    <n v="52"/>
    <n v="87"/>
    <n v="45927"/>
    <n v="80"/>
    <n v="70518"/>
    <n v="86"/>
    <s v="itunes, amzvid"/>
    <n v="84.33"/>
    <n v="1"/>
    <n v="1940"/>
  </r>
  <r>
    <x v="192"/>
    <x v="192"/>
    <n v="1940"/>
    <x v="13"/>
    <x v="130"/>
    <s v="en"/>
    <s v="1 win."/>
    <x v="1"/>
    <n v="83"/>
    <n v="7.8"/>
    <n v="78"/>
    <n v="65318"/>
    <m/>
    <n v="92"/>
    <n v="62"/>
    <n v="86"/>
    <n v="47826"/>
    <n v="80"/>
    <n v="94657"/>
    <n v="85"/>
    <s v="prime, itunes, amzvid"/>
    <n v="84.2"/>
    <n v="6"/>
    <n v="1940"/>
  </r>
  <r>
    <x v="193"/>
    <x v="193"/>
    <n v="1999"/>
    <x v="61"/>
    <x v="131"/>
    <s v="es"/>
    <s v="Won 1 Oscar. Another 56 wins &amp; 35 nominations."/>
    <x v="15"/>
    <n v="83"/>
    <n v="7.8"/>
    <n v="78"/>
    <n v="106182"/>
    <n v="87"/>
    <n v="83"/>
    <n v="57"/>
    <n v="88"/>
    <n v="102959"/>
    <n v="84"/>
    <n v="204213"/>
    <n v="85"/>
    <s v="itunes, amzvid"/>
    <n v="84.17"/>
    <n v="-5"/>
    <n v="1990"/>
  </r>
  <r>
    <x v="194"/>
    <x v="194"/>
    <n v="1976"/>
    <x v="2"/>
    <x v="2"/>
    <s v="en"/>
    <s v="Won 4 Oscars. Another 15 wins &amp; 25 nominations."/>
    <x v="63"/>
    <n v="83"/>
    <n v="8.1"/>
    <n v="81"/>
    <n v="178013"/>
    <n v="83"/>
    <n v="85"/>
    <n v="57"/>
    <n v="89"/>
    <n v="78540"/>
    <n v="86"/>
    <n v="162520"/>
    <n v="81"/>
    <s v="itunes, amzvid"/>
    <n v="84.17"/>
    <n v="-4"/>
    <n v="1970"/>
  </r>
  <r>
    <x v="195"/>
    <x v="195"/>
    <n v="2003"/>
    <x v="111"/>
    <x v="84"/>
    <s v="ko"/>
    <s v="24 wins &amp; 14 nominations."/>
    <x v="64"/>
    <n v="83"/>
    <n v="8.3000000000000007"/>
    <n v="83"/>
    <n v="673464"/>
    <n v="78"/>
    <n v="75"/>
    <n v="128"/>
    <n v="91"/>
    <n v="428547"/>
    <n v="88"/>
    <n v="1016835"/>
    <n v="90"/>
    <s v=""/>
    <n v="84.17"/>
    <n v="-16"/>
    <n v="2000"/>
  </r>
  <r>
    <x v="196"/>
    <x v="196"/>
    <n v="2003"/>
    <x v="112"/>
    <x v="132"/>
    <s v="fr"/>
    <s v=""/>
    <x v="7"/>
    <n v="83"/>
    <n v="7.7"/>
    <n v="77"/>
    <n v="58151"/>
    <n v="91"/>
    <n v="84"/>
    <n v="85"/>
    <n v="86"/>
    <n v="44514"/>
    <n v="80"/>
    <n v="52924"/>
    <n v="87"/>
    <s v="itunes, amzvid"/>
    <n v="84.17"/>
    <n v="-2"/>
    <n v="2000"/>
  </r>
  <r>
    <x v="197"/>
    <x v="197"/>
    <n v="2009"/>
    <x v="37"/>
    <x v="133"/>
    <s v="fr"/>
    <s v="Nominated for 1 Oscar. Another 47 wins &amp; 39 nominations."/>
    <x v="15"/>
    <n v="84"/>
    <n v="7.8"/>
    <n v="78"/>
    <n v="104716"/>
    <n v="90"/>
    <n v="85"/>
    <n v="118"/>
    <n v="85"/>
    <n v="36995"/>
    <n v="84"/>
    <n v="60869"/>
    <n v="83"/>
    <s v="itunes, amzvid"/>
    <n v="84.17"/>
    <n v="0"/>
    <n v="2000"/>
  </r>
  <r>
    <x v="198"/>
    <x v="198"/>
    <n v="2008"/>
    <x v="11"/>
    <x v="101"/>
    <s v="en"/>
    <s v="Won 8 Oscars. Another 153 wins &amp; 91 nominations."/>
    <x v="65"/>
    <n v="84"/>
    <n v="8"/>
    <n v="80"/>
    <n v="893294"/>
    <n v="84"/>
    <n v="84"/>
    <n v="162"/>
    <n v="86"/>
    <n v="940532"/>
    <n v="78"/>
    <n v="509273"/>
    <n v="93"/>
    <s v="itunes, amzvid, hbm"/>
    <n v="84.17"/>
    <n v="-2"/>
    <n v="2000"/>
  </r>
  <r>
    <x v="199"/>
    <x v="199"/>
    <n v="2017"/>
    <x v="113"/>
    <x v="134"/>
    <s v="en"/>
    <s v=""/>
    <x v="7"/>
    <n v="84"/>
    <n v="7.8"/>
    <n v="78"/>
    <n v="104591"/>
    <n v="88"/>
    <n v="87"/>
    <n v="183"/>
    <n v="84"/>
    <n v="170554"/>
    <n v="84"/>
    <n v="492384"/>
    <n v="84"/>
    <s v="itunes, hbm"/>
    <n v="84.17"/>
    <n v="3"/>
    <n v="2010"/>
  </r>
  <r>
    <x v="200"/>
    <x v="200"/>
    <n v="1964"/>
    <x v="114"/>
    <x v="86"/>
    <s v="en"/>
    <s v="Won 8 Oscars. Another 14 wins &amp; 13 nominations."/>
    <x v="11"/>
    <n v="83"/>
    <n v="7.7"/>
    <n v="77"/>
    <n v="104578"/>
    <n v="95"/>
    <n v="89"/>
    <n v="54"/>
    <n v="86"/>
    <n v="154784"/>
    <n v="72"/>
    <n v="89861"/>
    <n v="86"/>
    <s v=""/>
    <n v="84.17"/>
    <n v="3"/>
    <n v="1960"/>
  </r>
  <r>
    <x v="201"/>
    <x v="201"/>
    <n v="1973"/>
    <x v="115"/>
    <x v="135"/>
    <s v="en"/>
    <s v="Won 7 Oscars. Another 10 wins &amp; 6 nominations."/>
    <x v="3"/>
    <n v="83"/>
    <n v="8.3000000000000007"/>
    <n v="83"/>
    <n v="288739"/>
    <n v="83"/>
    <n v="84"/>
    <n v="69"/>
    <n v="91"/>
    <n v="88454"/>
    <n v="84"/>
    <n v="141404"/>
    <n v="80"/>
    <s v="itunes, amzvid"/>
    <n v="84.17"/>
    <n v="-7"/>
    <n v="1970"/>
  </r>
  <r>
    <x v="202"/>
    <x v="202"/>
    <n v="1930"/>
    <x v="16"/>
    <x v="136"/>
    <s v="en"/>
    <s v="Won 2 Oscars. Another 5 wins &amp; 2 nominations."/>
    <x v="3"/>
    <n v="84"/>
    <n v="8.1"/>
    <n v="81"/>
    <n v="69684"/>
    <n v="91"/>
    <n v="92"/>
    <n v="56"/>
    <n v="86"/>
    <n v="29586"/>
    <n v="84"/>
    <n v="52395"/>
    <n v="70"/>
    <s v="itunes, amzvid"/>
    <n v="84"/>
    <n v="6"/>
    <n v="1930"/>
  </r>
  <r>
    <x v="203"/>
    <x v="203"/>
    <n v="2024"/>
    <x v="2"/>
    <x v="137"/>
    <s v="en"/>
    <s v=""/>
    <x v="7"/>
    <n v="84"/>
    <n v="7.5"/>
    <n v="75"/>
    <n v="68946"/>
    <n v="90"/>
    <n v="88"/>
    <n v="175"/>
    <m/>
    <m/>
    <n v="80"/>
    <n v="544891"/>
    <n v="87"/>
    <s v="hbo"/>
    <n v="84"/>
    <n v="88"/>
    <n v="2020"/>
  </r>
  <r>
    <x v="204"/>
    <x v="204"/>
    <n v="2013"/>
    <x v="116"/>
    <x v="138"/>
    <s v="en"/>
    <s v="Won 1 Oscar. Another 103 wins &amp; 132 nominations."/>
    <x v="11"/>
    <n v="84"/>
    <n v="8"/>
    <n v="80"/>
    <n v="698369"/>
    <n v="91"/>
    <n v="87"/>
    <n v="247"/>
    <n v="81"/>
    <n v="634081"/>
    <n v="80"/>
    <n v="1696987"/>
    <n v="85"/>
    <s v="prime, itunes, amzvid"/>
    <n v="84"/>
    <n v="6"/>
    <n v="2010"/>
  </r>
  <r>
    <x v="205"/>
    <x v="205"/>
    <n v="2009"/>
    <x v="117"/>
    <x v="139"/>
    <s v="es"/>
    <s v="Won 1 Oscar. Another 51 wins &amp; 39 nominations."/>
    <x v="15"/>
    <n v="83"/>
    <n v="8.1999999999999993"/>
    <n v="82"/>
    <n v="231256"/>
    <n v="80"/>
    <n v="78"/>
    <n v="110"/>
    <n v="89"/>
    <n v="60610"/>
    <n v="84"/>
    <n v="124396"/>
    <n v="91"/>
    <s v="itunes, amzvid"/>
    <n v="84"/>
    <n v="-11"/>
    <n v="2000"/>
  </r>
  <r>
    <x v="206"/>
    <x v="206"/>
    <n v="1980"/>
    <x v="32"/>
    <x v="113"/>
    <s v="en"/>
    <s v="Nominated for 8 Oscars. Another 11 wins &amp; 13 nominations."/>
    <x v="66"/>
    <n v="83"/>
    <n v="8.1999999999999993"/>
    <n v="82"/>
    <n v="271067"/>
    <n v="78"/>
    <n v="83"/>
    <n v="62"/>
    <n v="89"/>
    <n v="138788"/>
    <n v="86"/>
    <n v="286846"/>
    <n v="86"/>
    <s v="amzvid"/>
    <n v="84"/>
    <n v="-6"/>
    <n v="1980"/>
  </r>
  <r>
    <x v="207"/>
    <x v="207"/>
    <n v="1992"/>
    <x v="118"/>
    <x v="140"/>
    <s v="en"/>
    <s v="Won 2 Oscars. Another 23 wins &amp; 17 nominations."/>
    <x v="67"/>
    <n v="83"/>
    <n v="8"/>
    <n v="80"/>
    <n v="484201"/>
    <n v="86"/>
    <n v="85"/>
    <n v="78"/>
    <n v="88"/>
    <n v="875875"/>
    <n v="78"/>
    <n v="746788"/>
    <n v="87"/>
    <s v="disney, amzvid, itunes"/>
    <n v="84"/>
    <n v="-3"/>
    <n v="1990"/>
  </r>
  <r>
    <x v="208"/>
    <x v="208"/>
    <n v="2019"/>
    <x v="119"/>
    <x v="141"/>
    <s v="en"/>
    <s v=""/>
    <x v="7"/>
    <n v="82"/>
    <n v="8.1"/>
    <n v="81"/>
    <n v="516895"/>
    <n v="81"/>
    <n v="79"/>
    <n v="217"/>
    <n v="93"/>
    <n v="266066"/>
    <n v="80"/>
    <n v="722735"/>
    <n v="90"/>
    <s v="prime, itunes, amzvid"/>
    <n v="84"/>
    <n v="-14"/>
    <n v="2010"/>
  </r>
  <r>
    <x v="209"/>
    <x v="209"/>
    <n v="2017"/>
    <x v="37"/>
    <x v="142"/>
    <s v="en"/>
    <s v=""/>
    <x v="7"/>
    <n v="84"/>
    <n v="8.1"/>
    <n v="81"/>
    <n v="579561"/>
    <n v="88"/>
    <n v="85"/>
    <n v="282"/>
    <n v="85"/>
    <n v="246227"/>
    <n v="80"/>
    <n v="690960"/>
    <n v="85"/>
    <s v="itunes, amzvid"/>
    <n v="84"/>
    <n v="0"/>
    <n v="2010"/>
  </r>
  <r>
    <x v="210"/>
    <x v="210"/>
    <n v="1978"/>
    <x v="101"/>
    <x v="143"/>
    <s v="en"/>
    <s v="4 wins &amp; 2 nominations."/>
    <x v="68"/>
    <n v="84"/>
    <n v="7.7"/>
    <n v="77"/>
    <n v="321821"/>
    <n v="90"/>
    <n v="87"/>
    <n v="102"/>
    <n v="85"/>
    <n v="478658"/>
    <n v="76"/>
    <n v="826218"/>
    <n v="89"/>
    <s v="itunes, amzvid"/>
    <n v="84"/>
    <n v="2"/>
    <n v="1970"/>
  </r>
  <r>
    <x v="211"/>
    <x v="211"/>
    <n v="1971"/>
    <x v="120"/>
    <x v="11"/>
    <s v="en"/>
    <s v=""/>
    <x v="7"/>
    <n v="83"/>
    <n v="8.1999999999999993"/>
    <n v="82"/>
    <n v="907799"/>
    <n v="77"/>
    <n v="85"/>
    <n v="94"/>
    <n v="90"/>
    <n v="649103"/>
    <n v="82"/>
    <n v="1071687"/>
    <n v="87"/>
    <s v="itunes, amzvid, hbm"/>
    <n v="83.83"/>
    <n v="-5"/>
    <n v="1970"/>
  </r>
  <r>
    <x v="212"/>
    <x v="212"/>
    <n v="1967"/>
    <x v="121"/>
    <x v="144"/>
    <s v="en"/>
    <s v="Won 1 Oscar. Another 20 wins &amp; 16 nominations."/>
    <x v="69"/>
    <n v="84"/>
    <n v="8"/>
    <n v="80"/>
    <n v="295545"/>
    <n v="83"/>
    <n v="88"/>
    <n v="76"/>
    <n v="86"/>
    <n v="249780"/>
    <n v="82"/>
    <n v="381526"/>
    <n v="84"/>
    <s v="amzvid"/>
    <n v="83.83"/>
    <n v="2"/>
    <n v="1960"/>
  </r>
  <r>
    <x v="213"/>
    <x v="213"/>
    <n v="1987"/>
    <x v="16"/>
    <x v="11"/>
    <s v="en"/>
    <s v="Nominated for 1 Oscar. Another 9 wins &amp; 7 nominations."/>
    <x v="9"/>
    <n v="83"/>
    <n v="8.1999999999999993"/>
    <n v="82"/>
    <n v="816985"/>
    <n v="78"/>
    <n v="82"/>
    <n v="70"/>
    <n v="90"/>
    <n v="461701"/>
    <n v="84"/>
    <n v="734317"/>
    <n v="87"/>
    <s v="itunes, amzvid, hbm"/>
    <n v="83.83"/>
    <n v="-8"/>
    <n v="1980"/>
  </r>
  <r>
    <x v="214"/>
    <x v="214"/>
    <n v="1997"/>
    <x v="2"/>
    <x v="145"/>
    <s v="en"/>
    <s v="Won 2 Oscars. Another 22 wins &amp; 49 nominations."/>
    <x v="4"/>
    <n v="83"/>
    <n v="8.3000000000000007"/>
    <n v="83"/>
    <n v="1128522"/>
    <n v="71"/>
    <n v="79"/>
    <n v="70"/>
    <n v="91"/>
    <n v="846429"/>
    <n v="86"/>
    <n v="1807181"/>
    <n v="93"/>
    <s v="paramount, itunes, amzvid, hbm"/>
    <n v="83.83"/>
    <n v="-12"/>
    <n v="1990"/>
  </r>
  <r>
    <x v="215"/>
    <x v="215"/>
    <n v="2010"/>
    <x v="122"/>
    <x v="81"/>
    <s v="en"/>
    <s v="Won 4 Oscars. Another 138 wins &amp; 192 nominations."/>
    <x v="11"/>
    <n v="83"/>
    <n v="8.8000000000000007"/>
    <n v="88"/>
    <n v="2666368"/>
    <n v="74"/>
    <n v="80"/>
    <n v="241"/>
    <n v="89"/>
    <n v="1315019"/>
    <n v="84"/>
    <n v="2796491"/>
    <n v="88"/>
    <s v="itunes, amzvid, hbm"/>
    <n v="83.83"/>
    <n v="-9"/>
    <n v="2010"/>
  </r>
  <r>
    <x v="216"/>
    <x v="216"/>
    <n v="1960"/>
    <x v="75"/>
    <x v="146"/>
    <s v="fr"/>
    <s v=""/>
    <x v="2"/>
    <n v="83"/>
    <n v="7.6"/>
    <n v="76"/>
    <n v="37018"/>
    <n v="90"/>
    <n v="85"/>
    <n v="52"/>
    <n v="84"/>
    <n v="47152"/>
    <n v="78"/>
    <n v="122339"/>
    <n v="90"/>
    <s v="itunes, amzvid, hbm"/>
    <n v="83.83"/>
    <n v="1"/>
    <n v="1960"/>
  </r>
  <r>
    <x v="217"/>
    <x v="217"/>
    <n v="1933"/>
    <x v="123"/>
    <x v="147"/>
    <s v="en"/>
    <s v="3 wins &amp; 3 nominations."/>
    <x v="70"/>
    <n v="84"/>
    <n v="7.9"/>
    <n v="79"/>
    <n v="93320"/>
    <n v="92"/>
    <n v="91"/>
    <n v="87"/>
    <n v="83"/>
    <n v="91336"/>
    <n v="76"/>
    <n v="93284"/>
    <n v="82"/>
    <s v="itunes, amzvid, hbm"/>
    <n v="83.83"/>
    <n v="8"/>
    <n v="1930"/>
  </r>
  <r>
    <x v="218"/>
    <x v="218"/>
    <n v="2023"/>
    <x v="124"/>
    <x v="7"/>
    <s v="ja"/>
    <s v=""/>
    <x v="7"/>
    <n v="83"/>
    <n v="7.4"/>
    <n v="74"/>
    <n v="91799"/>
    <n v="91"/>
    <n v="87"/>
    <n v="151"/>
    <m/>
    <n v="310942"/>
    <n v="78"/>
    <n v="925249"/>
    <n v="89"/>
    <s v=""/>
    <n v="83.8"/>
    <n v="87"/>
    <n v="2020"/>
  </r>
  <r>
    <x v="219"/>
    <x v="219"/>
    <n v="2023"/>
    <x v="61"/>
    <x v="148"/>
    <s v="en"/>
    <s v=""/>
    <x v="7"/>
    <n v="84"/>
    <n v="7.9"/>
    <n v="79"/>
    <n v="196289"/>
    <n v="82"/>
    <n v="85"/>
    <n v="204"/>
    <m/>
    <n v="387674"/>
    <n v="84"/>
    <n v="1152636"/>
    <n v="89"/>
    <s v=""/>
    <n v="83.8"/>
    <n v="85"/>
    <n v="2020"/>
  </r>
  <r>
    <x v="220"/>
    <x v="220"/>
    <n v="2025"/>
    <x v="101"/>
    <x v="149"/>
    <s v="en"/>
    <s v=""/>
    <x v="7"/>
    <n v="84"/>
    <n v="8.1"/>
    <n v="81"/>
    <n v="92445"/>
    <n v="84"/>
    <n v="86"/>
    <n v="195"/>
    <m/>
    <m/>
    <n v="84"/>
    <n v="1063065"/>
    <m/>
    <s v="prime"/>
    <n v="83.75"/>
    <n v="86"/>
    <n v="2020"/>
  </r>
  <r>
    <x v="221"/>
    <x v="221"/>
    <n v="2011"/>
    <x v="125"/>
    <x v="150"/>
    <s v="en"/>
    <s v="Nominated for 3 Oscars. Another 48 wins &amp; 77 nominations."/>
    <x v="11"/>
    <n v="83"/>
    <n v="8.1"/>
    <n v="81"/>
    <n v="990703"/>
    <n v="85"/>
    <n v="84"/>
    <n v="187"/>
    <n v="87"/>
    <n v="739552"/>
    <n v="80"/>
    <n v="1431230"/>
    <n v="85"/>
    <s v="peacock, hbo, itunes, amzvid, hbm"/>
    <n v="83.67"/>
    <n v="-3"/>
    <n v="2010"/>
  </r>
  <r>
    <x v="222"/>
    <x v="222"/>
    <n v="1997"/>
    <x v="2"/>
    <x v="20"/>
    <s v="en"/>
    <s v="Nominated for 3 Oscars. Another 36 wins &amp; 38 nominations."/>
    <x v="16"/>
    <n v="83"/>
    <n v="7.9"/>
    <n v="79"/>
    <n v="290090"/>
    <n v="86"/>
    <n v="82"/>
    <n v="62"/>
    <n v="85"/>
    <n v="274867"/>
    <n v="84"/>
    <n v="444602"/>
    <n v="86"/>
    <s v="itunes"/>
    <n v="83.67"/>
    <n v="-3"/>
    <n v="1990"/>
  </r>
  <r>
    <x v="223"/>
    <x v="223"/>
    <n v="2008"/>
    <x v="126"/>
    <x v="151"/>
    <s v="en"/>
    <s v="Won 6 Oscars. Another 126 wins &amp; 94 nominations."/>
    <x v="71"/>
    <n v="84"/>
    <n v="7.5"/>
    <n v="75"/>
    <n v="483381"/>
    <n v="95"/>
    <n v="88"/>
    <n v="198"/>
    <n v="81"/>
    <n v="147838"/>
    <n v="76"/>
    <n v="250506"/>
    <n v="87"/>
    <s v="prime, itunes, amzvid"/>
    <n v="83.67"/>
    <n v="7"/>
    <n v="2000"/>
  </r>
  <r>
    <x v="224"/>
    <x v="224"/>
    <n v="1989"/>
    <x v="2"/>
    <x v="66"/>
    <s v="en"/>
    <s v="Won 1 Oscar. Another 17 wins &amp; 18 nominations."/>
    <x v="57"/>
    <n v="82"/>
    <n v="8.1"/>
    <n v="81"/>
    <n v="585470"/>
    <n v="79"/>
    <n v="74"/>
    <n v="51"/>
    <n v="89"/>
    <n v="813805"/>
    <n v="86"/>
    <n v="1825679"/>
    <n v="93"/>
    <s v="itunes, amzvid"/>
    <n v="83.67"/>
    <n v="-15"/>
    <n v="1980"/>
  </r>
  <r>
    <x v="225"/>
    <x v="225"/>
    <n v="1993"/>
    <x v="51"/>
    <x v="152"/>
    <s v="en"/>
    <s v="Nominated for 1 Oscar. Another 6 wins &amp; 6 nominations."/>
    <x v="72"/>
    <n v="83"/>
    <n v="7.9"/>
    <n v="79"/>
    <n v="393679"/>
    <n v="82"/>
    <n v="84"/>
    <n v="91"/>
    <n v="87"/>
    <n v="1008679"/>
    <n v="80"/>
    <n v="1265746"/>
    <n v="90"/>
    <s v="disney, itunes, amzvid"/>
    <n v="83.67"/>
    <n v="-3"/>
    <n v="1990"/>
  </r>
  <r>
    <x v="226"/>
    <x v="226"/>
    <n v="2019"/>
    <x v="127"/>
    <x v="153"/>
    <s v="en"/>
    <s v=""/>
    <x v="7"/>
    <n v="83"/>
    <n v="8.4"/>
    <n v="84"/>
    <n v="1344334"/>
    <n v="78"/>
    <n v="81"/>
    <n v="317"/>
    <n v="88"/>
    <n v="856561"/>
    <n v="78"/>
    <n v="2410586"/>
    <n v="93"/>
    <s v="disney, itunes, amzvid"/>
    <n v="83.67"/>
    <n v="-7"/>
    <n v="2010"/>
  </r>
  <r>
    <x v="227"/>
    <x v="227"/>
    <n v="2022"/>
    <x v="128"/>
    <x v="154"/>
    <s v="te"/>
    <s v=""/>
    <x v="7"/>
    <n v="84"/>
    <n v="7.8"/>
    <n v="78"/>
    <n v="177734"/>
    <n v="83"/>
    <n v="83"/>
    <n v="67"/>
    <m/>
    <n v="95355"/>
    <n v="84"/>
    <n v="279475"/>
    <n v="90"/>
    <s v="netflix"/>
    <n v="83.6"/>
    <n v="83"/>
    <n v="2020"/>
  </r>
  <r>
    <x v="228"/>
    <x v="228"/>
    <n v="2021"/>
    <x v="2"/>
    <x v="155"/>
    <s v="ja"/>
    <s v=""/>
    <x v="7"/>
    <n v="83"/>
    <n v="7.5"/>
    <n v="75"/>
    <n v="72039"/>
    <n v="91"/>
    <n v="88"/>
    <n v="139"/>
    <m/>
    <n v="108261"/>
    <n v="84"/>
    <n v="322596"/>
    <n v="80"/>
    <s v=""/>
    <n v="83.6"/>
    <n v="88"/>
    <n v="2020"/>
  </r>
  <r>
    <x v="229"/>
    <x v="229"/>
    <n v="2006"/>
    <x v="129"/>
    <x v="156"/>
    <s v="en"/>
    <s v="Nominated for 3 Oscars. Another 43 wins &amp; 50 nominations."/>
    <x v="3"/>
    <n v="84"/>
    <n v="7.9"/>
    <n v="79"/>
    <n v="545472"/>
    <n v="84"/>
    <n v="82"/>
    <n v="160"/>
    <n v="82"/>
    <n v="547568"/>
    <n v="86"/>
    <n v="579387"/>
    <n v="88"/>
    <s v="prime, itunes, amzvid"/>
    <n v="83.5"/>
    <n v="0"/>
    <n v="2000"/>
  </r>
  <r>
    <x v="230"/>
    <x v="230"/>
    <n v="2001"/>
    <x v="11"/>
    <x v="156"/>
    <s v="es"/>
    <s v="Nominated for 1 Oscar. Another 42 wins &amp; 33 nominations."/>
    <x v="45"/>
    <n v="83"/>
    <n v="7.7"/>
    <n v="77"/>
    <n v="133724"/>
    <n v="89"/>
    <n v="83"/>
    <n v="106"/>
    <n v="84"/>
    <n v="139298"/>
    <n v="84"/>
    <n v="278042"/>
    <n v="84"/>
    <s v="netflix, itunes, amzvid"/>
    <n v="83.5"/>
    <n v="-1"/>
    <n v="2000"/>
  </r>
  <r>
    <x v="231"/>
    <x v="231"/>
    <n v="1977"/>
    <x v="130"/>
    <x v="3"/>
    <s v="en"/>
    <s v="Won 1 Oscar. Another 12 wins &amp; 37 nominations."/>
    <x v="73"/>
    <n v="84"/>
    <n v="7.6"/>
    <n v="76"/>
    <n v="224473"/>
    <n v="90"/>
    <n v="90"/>
    <n v="95"/>
    <n v="82"/>
    <n v="174410"/>
    <n v="76"/>
    <n v="238295"/>
    <n v="87"/>
    <s v="itunes, amzvid"/>
    <n v="83.5"/>
    <n v="8"/>
    <n v="1970"/>
  </r>
  <r>
    <x v="232"/>
    <x v="232"/>
    <n v="1995"/>
    <x v="62"/>
    <x v="157"/>
    <s v="en"/>
    <s v="Won 2 Oscars. Another 34 wins &amp; 10 nominations."/>
    <x v="74"/>
    <n v="82"/>
    <n v="8.5"/>
    <n v="85"/>
    <n v="1183910"/>
    <n v="76"/>
    <n v="78"/>
    <n v="62"/>
    <n v="92"/>
    <n v="493378"/>
    <n v="82"/>
    <n v="608644"/>
    <n v="88"/>
    <s v="itunes"/>
    <n v="83.5"/>
    <n v="-14"/>
    <n v="1990"/>
  </r>
  <r>
    <x v="233"/>
    <x v="233"/>
    <n v="2012"/>
    <x v="2"/>
    <x v="158"/>
    <s v="da"/>
    <s v="Nominated for 1 Oscar. Another 43 wins &amp; 54 nominations."/>
    <x v="75"/>
    <n v="82"/>
    <n v="8.3000000000000007"/>
    <n v="83"/>
    <n v="385419"/>
    <n v="77"/>
    <n v="76"/>
    <n v="64"/>
    <n v="90"/>
    <n v="132458"/>
    <n v="86"/>
    <n v="397376"/>
    <n v="89"/>
    <s v="itunes, amzvid"/>
    <n v="83.5"/>
    <n v="-14"/>
    <n v="2010"/>
  </r>
  <r>
    <x v="234"/>
    <x v="234"/>
    <n v="1940"/>
    <x v="7"/>
    <x v="159"/>
    <s v="en"/>
    <s v="7 wins &amp; 1 nomination."/>
    <x v="76"/>
    <n v="84"/>
    <n v="7.7"/>
    <n v="77"/>
    <n v="107375"/>
    <n v="96"/>
    <n v="89"/>
    <n v="51"/>
    <n v="80"/>
    <n v="164075"/>
    <n v="78"/>
    <n v="233257"/>
    <n v="81"/>
    <s v="disney, amzvid"/>
    <n v="83.5"/>
    <n v="9"/>
    <n v="1940"/>
  </r>
  <r>
    <x v="235"/>
    <x v="235"/>
    <n v="2004"/>
    <x v="95"/>
    <x v="5"/>
    <s v="en"/>
    <s v="Nominated for 2 Golden Globes. Another 15 wins &amp; 56 nominations."/>
    <x v="4"/>
    <n v="83"/>
    <n v="8"/>
    <n v="80"/>
    <n v="833912"/>
    <n v="83"/>
    <n v="79"/>
    <n v="163"/>
    <n v="86"/>
    <n v="928375"/>
    <n v="82"/>
    <n v="1100503"/>
    <n v="91"/>
    <s v="itunes, amzvid"/>
    <n v="83.5"/>
    <n v="-7"/>
    <n v="2000"/>
  </r>
  <r>
    <x v="236"/>
    <x v="236"/>
    <n v="1985"/>
    <x v="131"/>
    <x v="160"/>
    <s v="en"/>
    <s v="Nominated for 2 Oscars. Another 8 wins &amp; 3 nominations."/>
    <x v="3"/>
    <n v="83"/>
    <n v="7.8"/>
    <n v="78"/>
    <n v="215804"/>
    <n v="84"/>
    <n v="87"/>
    <n v="75"/>
    <n v="86"/>
    <n v="136795"/>
    <n v="82"/>
    <n v="203811"/>
    <n v="84"/>
    <s v="itunes, amzvid"/>
    <n v="83.5"/>
    <n v="1"/>
    <n v="1980"/>
  </r>
  <r>
    <x v="237"/>
    <x v="237"/>
    <n v="2017"/>
    <x v="132"/>
    <x v="161"/>
    <s v="ja"/>
    <s v=""/>
    <x v="7"/>
    <n v="83"/>
    <n v="7.6"/>
    <n v="76"/>
    <n v="32571"/>
    <n v="86"/>
    <n v="86"/>
    <n v="74"/>
    <n v="84"/>
    <n v="39772"/>
    <n v="82"/>
    <n v="118048"/>
    <n v="87"/>
    <s v="itunes, amzvid"/>
    <n v="83.5"/>
    <n v="2"/>
    <n v="2010"/>
  </r>
  <r>
    <x v="238"/>
    <x v="238"/>
    <n v="2023"/>
    <x v="117"/>
    <x v="68"/>
    <s v="ja"/>
    <s v=""/>
    <x v="7"/>
    <n v="84"/>
    <n v="7.8"/>
    <n v="78"/>
    <n v="34095"/>
    <n v="79"/>
    <n v="81"/>
    <n v="100"/>
    <m/>
    <n v="93798"/>
    <n v="86"/>
    <n v="280888"/>
    <n v="93"/>
    <s v="mubi"/>
    <n v="83.4"/>
    <n v="81"/>
    <n v="2020"/>
  </r>
  <r>
    <x v="239"/>
    <x v="239"/>
    <n v="2023"/>
    <x v="2"/>
    <x v="162"/>
    <s v="ja"/>
    <s v=""/>
    <x v="7"/>
    <n v="84"/>
    <n v="7.9"/>
    <n v="79"/>
    <n v="79707"/>
    <n v="80"/>
    <n v="82"/>
    <n v="115"/>
    <m/>
    <n v="175773"/>
    <n v="86"/>
    <n v="526385"/>
    <n v="90"/>
    <s v="hulu"/>
    <n v="83.4"/>
    <n v="82"/>
    <n v="2020"/>
  </r>
  <r>
    <x v="240"/>
    <x v="240"/>
    <n v="2023"/>
    <x v="133"/>
    <x v="163"/>
    <s v="es"/>
    <s v=""/>
    <x v="7"/>
    <n v="83"/>
    <n v="7.6"/>
    <n v="76"/>
    <n v="20523"/>
    <n v="87"/>
    <n v="85"/>
    <n v="89"/>
    <m/>
    <n v="61360"/>
    <n v="82"/>
    <n v="183822"/>
    <n v="87"/>
    <s v=""/>
    <n v="83.4"/>
    <n v="85"/>
    <n v="2020"/>
  </r>
  <r>
    <x v="241"/>
    <x v="241"/>
    <n v="2004"/>
    <x v="134"/>
    <x v="47"/>
    <s v="en"/>
    <s v=""/>
    <x v="7"/>
    <n v="85"/>
    <n v="8"/>
    <n v="80"/>
    <n v="849428"/>
    <n v="90"/>
    <n v="86"/>
    <n v="150"/>
    <n v="75"/>
    <n v="22277024"/>
    <n v="82"/>
    <n v="1622816"/>
    <n v="87"/>
    <s v="disney, itunes, amzvid"/>
    <n v="83.33"/>
    <n v="11"/>
    <n v="2000"/>
  </r>
  <r>
    <x v="242"/>
    <x v="242"/>
    <n v="1986"/>
    <x v="37"/>
    <x v="164"/>
    <s v="en"/>
    <s v="Nominated for 1 Oscar. Another 4 wins &amp; 10 nominations."/>
    <x v="77"/>
    <n v="82"/>
    <n v="8.1"/>
    <n v="81"/>
    <n v="461130"/>
    <n v="75"/>
    <n v="79"/>
    <n v="55"/>
    <n v="90"/>
    <n v="437767"/>
    <n v="84"/>
    <n v="771437"/>
    <n v="91"/>
    <s v="hulu, itunes, amzvid"/>
    <n v="83.33"/>
    <n v="-11"/>
    <n v="1980"/>
  </r>
  <r>
    <x v="243"/>
    <x v="243"/>
    <n v="1964"/>
    <x v="135"/>
    <x v="165"/>
    <s v="en"/>
    <s v="Won 1 Oscar. Another 4 wins &amp; 5 nominations."/>
    <x v="8"/>
    <n v="83"/>
    <n v="7.7"/>
    <n v="77"/>
    <n v="208399"/>
    <n v="87"/>
    <n v="87"/>
    <n v="58"/>
    <n v="85"/>
    <n v="193600"/>
    <n v="76"/>
    <n v="165532"/>
    <n v="88"/>
    <s v="itunes, amzvid"/>
    <n v="83.33"/>
    <n v="2"/>
    <n v="1960"/>
  </r>
  <r>
    <x v="244"/>
    <x v="244"/>
    <n v="2016"/>
    <x v="2"/>
    <x v="166"/>
    <s v="en"/>
    <s v=""/>
    <x v="7"/>
    <n v="84"/>
    <n v="7.8"/>
    <n v="78"/>
    <n v="330251"/>
    <n v="96"/>
    <n v="90"/>
    <n v="241"/>
    <n v="77"/>
    <n v="258451"/>
    <n v="82"/>
    <n v="673804"/>
    <n v="77"/>
    <s v="prime, itunes"/>
    <n v="83.33"/>
    <n v="13"/>
    <n v="2010"/>
  </r>
  <r>
    <x v="245"/>
    <x v="245"/>
    <n v="1931"/>
    <x v="136"/>
    <x v="167"/>
    <s v="en"/>
    <s v="3 wins &amp; 1 nomination."/>
    <x v="78"/>
    <n v="83"/>
    <n v="7.8"/>
    <n v="78"/>
    <n v="83138"/>
    <n v="91"/>
    <n v="89"/>
    <n v="67"/>
    <n v="84"/>
    <n v="55846"/>
    <n v="76"/>
    <n v="155858"/>
    <n v="82"/>
    <s v="itunes, amzvid"/>
    <n v="83.33"/>
    <n v="5"/>
    <n v="1930"/>
  </r>
  <r>
    <x v="246"/>
    <x v="246"/>
    <n v="2013"/>
    <x v="85"/>
    <x v="121"/>
    <s v="en"/>
    <s v="Nominated for 1 Oscar. Another 23 wins &amp; 47 nominations."/>
    <x v="79"/>
    <n v="84"/>
    <n v="7.9"/>
    <n v="79"/>
    <n v="178527"/>
    <n v="94"/>
    <n v="89"/>
    <n v="168"/>
    <n v="80"/>
    <n v="160109"/>
    <n v="80"/>
    <n v="404845"/>
    <n v="78"/>
    <s v="itunes, amzvid"/>
    <n v="83.33"/>
    <n v="9"/>
    <n v="2010"/>
  </r>
  <r>
    <x v="247"/>
    <x v="247"/>
    <n v="2008"/>
    <x v="71"/>
    <x v="168"/>
    <s v="en"/>
    <s v="Won 1 Oscar. Another 43 wins &amp; 11 nominations."/>
    <x v="75"/>
    <n v="83"/>
    <n v="7.7"/>
    <n v="77"/>
    <n v="59645"/>
    <n v="89"/>
    <n v="85"/>
    <n v="103"/>
    <n v="83"/>
    <n v="33830"/>
    <n v="78"/>
    <n v="41086"/>
    <n v="88"/>
    <s v="prime, itunes, amzvid"/>
    <n v="83.33"/>
    <n v="2"/>
    <n v="2000"/>
  </r>
  <r>
    <x v="248"/>
    <x v="248"/>
    <n v="1999"/>
    <x v="2"/>
    <x v="169"/>
    <s v="en"/>
    <s v="Won 5 Oscars. Another 115 wins &amp; 82 nominations."/>
    <x v="80"/>
    <n v="82"/>
    <n v="8.3000000000000007"/>
    <n v="83"/>
    <n v="1244248"/>
    <n v="84"/>
    <n v="83"/>
    <n v="118"/>
    <n v="89"/>
    <n v="743082"/>
    <n v="80"/>
    <n v="906361"/>
    <n v="81"/>
    <s v="netflix, itunes, amzvid"/>
    <n v="83.33"/>
    <n v="-6"/>
    <n v="1990"/>
  </r>
  <r>
    <x v="249"/>
    <x v="249"/>
    <n v="1987"/>
    <x v="137"/>
    <x v="164"/>
    <s v="en"/>
    <s v="Nominated for 1 Oscar. Another 6 wins &amp; 8 nominations."/>
    <x v="14"/>
    <n v="82"/>
    <n v="8"/>
    <n v="80"/>
    <n v="463935"/>
    <n v="78"/>
    <n v="83"/>
    <n v="81"/>
    <n v="89"/>
    <n v="586715"/>
    <n v="82"/>
    <n v="703277"/>
    <n v="87"/>
    <s v="disney, itunes, amzvid"/>
    <n v="83.17"/>
    <n v="-6"/>
    <n v="1980"/>
  </r>
  <r>
    <x v="250"/>
    <x v="250"/>
    <n v="1975"/>
    <x v="138"/>
    <x v="170"/>
    <s v="it"/>
    <s v="1 win &amp; 1 nomination."/>
    <x v="81"/>
    <n v="83"/>
    <n v="7.5"/>
    <n v="75"/>
    <n v="44979"/>
    <n v="89"/>
    <n v="85"/>
    <n v="60"/>
    <n v="84"/>
    <n v="41285"/>
    <n v="78"/>
    <n v="100209"/>
    <n v="88"/>
    <s v="mubi, itunes, amzvid"/>
    <n v="83.17"/>
    <n v="1"/>
    <n v="1970"/>
  </r>
  <r>
    <x v="251"/>
    <x v="251"/>
    <n v="2009"/>
    <x v="139"/>
    <x v="171"/>
    <s v="en"/>
    <s v="4 wins &amp; 7 nominations."/>
    <x v="45"/>
    <n v="83"/>
    <n v="8.1"/>
    <n v="81"/>
    <n v="194996"/>
    <n v="72"/>
    <n v="80"/>
    <n v="63"/>
    <n v="88"/>
    <n v="63451"/>
    <n v="86"/>
    <n v="139756"/>
    <n v="92"/>
    <s v="hulu, itunes, amzvid"/>
    <n v="83.17"/>
    <n v="-8"/>
    <n v="2000"/>
  </r>
  <r>
    <x v="252"/>
    <x v="252"/>
    <n v="2017"/>
    <x v="140"/>
    <x v="81"/>
    <s v="en"/>
    <s v=""/>
    <x v="7"/>
    <n v="84"/>
    <n v="7.8"/>
    <n v="78"/>
    <n v="769404"/>
    <n v="94"/>
    <n v="89"/>
    <n v="303"/>
    <n v="79"/>
    <n v="525161"/>
    <n v="76"/>
    <n v="1433980"/>
    <n v="83"/>
    <s v="peacock, itunes, amzvid, hbm"/>
    <n v="83.17"/>
    <n v="10"/>
    <n v="2010"/>
  </r>
  <r>
    <x v="253"/>
    <x v="253"/>
    <n v="1995"/>
    <x v="141"/>
    <x v="172"/>
    <s v="en"/>
    <s v="1 win &amp; 8 nominations."/>
    <x v="9"/>
    <n v="82"/>
    <n v="8.3000000000000007"/>
    <n v="83"/>
    <n v="749997"/>
    <n v="76"/>
    <n v="78"/>
    <n v="101"/>
    <n v="90"/>
    <n v="378101"/>
    <n v="86"/>
    <n v="688200"/>
    <n v="86"/>
    <s v="prime, itunes, amzvid"/>
    <n v="83.17"/>
    <n v="-12"/>
    <n v="1990"/>
  </r>
  <r>
    <x v="254"/>
    <x v="254"/>
    <n v="2005"/>
    <x v="11"/>
    <x v="173"/>
    <s v="en"/>
    <s v="Nominated for 4 Oscars. Another 18 wins &amp; 41 nominations."/>
    <x v="25"/>
    <n v="82"/>
    <n v="7.8"/>
    <n v="78"/>
    <n v="348415"/>
    <n v="82"/>
    <n v="78"/>
    <n v="96"/>
    <n v="87"/>
    <n v="707510"/>
    <n v="82"/>
    <n v="1202164"/>
    <n v="92"/>
    <s v="britbox, itunes, amzvid"/>
    <n v="83.17"/>
    <n v="-9"/>
    <n v="2000"/>
  </r>
  <r>
    <x v="255"/>
    <x v="255"/>
    <n v="1965"/>
    <x v="142"/>
    <x v="38"/>
    <s v="en"/>
    <s v="Nominated for 1 BAFTA Film Award. Another 2 wins &amp; 3 nominations."/>
    <x v="82"/>
    <n v="83"/>
    <n v="7.6"/>
    <n v="76"/>
    <n v="59375"/>
    <n v="91"/>
    <n v="90"/>
    <n v="52"/>
    <n v="83"/>
    <n v="39850"/>
    <n v="78"/>
    <n v="81167"/>
    <n v="81"/>
    <s v="itunes, amzvid"/>
    <n v="83.17"/>
    <n v="7"/>
    <n v="1960"/>
  </r>
  <r>
    <x v="256"/>
    <x v="256"/>
    <n v="2018"/>
    <x v="2"/>
    <x v="174"/>
    <s v="ar"/>
    <s v=""/>
    <x v="7"/>
    <n v="82"/>
    <n v="8.4"/>
    <n v="84"/>
    <n v="114819"/>
    <n v="75"/>
    <n v="77"/>
    <n v="108"/>
    <n v="89"/>
    <n v="33107"/>
    <n v="84"/>
    <n v="96419"/>
    <n v="90"/>
    <s v="itunes, amzvid"/>
    <n v="83.17"/>
    <n v="-12"/>
    <n v="2010"/>
  </r>
  <r>
    <x v="257"/>
    <x v="257"/>
    <n v="2001"/>
    <x v="143"/>
    <x v="113"/>
    <s v="en"/>
    <s v="Nominated for 1 Oscar. Another 49 wins &amp; 40 nominations."/>
    <x v="83"/>
    <n v="83"/>
    <n v="7.9"/>
    <n v="79"/>
    <n v="404168"/>
    <n v="87"/>
    <n v="80"/>
    <n v="156"/>
    <n v="84"/>
    <n v="396635"/>
    <n v="86"/>
    <n v="810417"/>
    <n v="83"/>
    <s v="itunes, amzvid"/>
    <n v="83.17"/>
    <n v="-4"/>
    <n v="2000"/>
  </r>
  <r>
    <x v="258"/>
    <x v="258"/>
    <n v="2003"/>
    <x v="121"/>
    <x v="175"/>
    <s v="en"/>
    <s v="Won 1 Oscar. Another 107 wins &amp; 77 nominations."/>
    <x v="25"/>
    <n v="83"/>
    <n v="7.7"/>
    <n v="77"/>
    <n v="508646"/>
    <n v="91"/>
    <n v="86"/>
    <n v="137"/>
    <n v="82"/>
    <n v="580822"/>
    <n v="76"/>
    <n v="1066082"/>
    <n v="87"/>
    <s v="netflix, prime, itunes, amzvid"/>
    <n v="83.17"/>
    <n v="4"/>
    <n v="2000"/>
  </r>
  <r>
    <x v="259"/>
    <x v="259"/>
    <n v="1976"/>
    <x v="144"/>
    <x v="176"/>
    <s v="en"/>
    <s v="Won 4 Oscars. Another 12 wins &amp; 21 nominations."/>
    <x v="52"/>
    <n v="83"/>
    <n v="7.9"/>
    <n v="79"/>
    <n v="130574"/>
    <n v="84"/>
    <n v="89"/>
    <n v="61"/>
    <n v="88"/>
    <n v="83353"/>
    <n v="84"/>
    <n v="149021"/>
    <n v="75"/>
    <s v="itunes, amzvid, hbm"/>
    <n v="83.17"/>
    <n v="1"/>
    <n v="1970"/>
  </r>
  <r>
    <x v="260"/>
    <x v="260"/>
    <n v="2000"/>
    <x v="41"/>
    <x v="177"/>
    <s v="es"/>
    <s v="Nominated for 1 Oscar. Another 54 wins &amp; 22 nominations."/>
    <x v="84"/>
    <n v="82"/>
    <n v="8"/>
    <n v="80"/>
    <n v="262066"/>
    <n v="83"/>
    <n v="79"/>
    <n v="81"/>
    <n v="89"/>
    <n v="127741"/>
    <n v="84"/>
    <n v="174338"/>
    <n v="84"/>
    <s v="itunes, amzvid"/>
    <n v="83.17"/>
    <n v="-10"/>
    <n v="2000"/>
  </r>
  <r>
    <x v="261"/>
    <x v="261"/>
    <n v="1964"/>
    <x v="11"/>
    <x v="178"/>
    <s v="fr"/>
    <s v="Nominated for 5 Oscars. Another 5 wins &amp; 2 nominations."/>
    <x v="85"/>
    <n v="83"/>
    <n v="7.8"/>
    <n v="78"/>
    <n v="32989"/>
    <n v="86"/>
    <n v="88"/>
    <n v="55"/>
    <n v="83"/>
    <n v="52926"/>
    <n v="82"/>
    <n v="138924"/>
    <n v="82"/>
    <s v="itunes, amzvid, hbm"/>
    <n v="83.17"/>
    <n v="5"/>
    <n v="1960"/>
  </r>
  <r>
    <x v="262"/>
    <x v="262"/>
    <n v="2000"/>
    <x v="145"/>
    <x v="179"/>
    <s v="es"/>
    <s v="22 wins &amp; 8 nominations."/>
    <x v="15"/>
    <n v="82"/>
    <n v="7.9"/>
    <n v="79"/>
    <n v="59346"/>
    <n v="80"/>
    <n v="76"/>
    <n v="55"/>
    <n v="90"/>
    <n v="31616"/>
    <n v="82"/>
    <n v="66882"/>
    <n v="92"/>
    <s v=""/>
    <n v="83.17"/>
    <n v="-14"/>
    <n v="2000"/>
  </r>
  <r>
    <x v="263"/>
    <x v="263"/>
    <n v="1975"/>
    <x v="146"/>
    <x v="180"/>
    <s v="en"/>
    <s v="Won 1 Oscar. Another 23 wins &amp; 24 nominations."/>
    <x v="0"/>
    <n v="83"/>
    <n v="7.6"/>
    <n v="76"/>
    <n v="29656"/>
    <n v="96"/>
    <n v="90"/>
    <n v="75"/>
    <n v="81"/>
    <n v="25045"/>
    <n v="84"/>
    <n v="54825"/>
    <n v="72"/>
    <s v="itunes"/>
    <n v="83.17"/>
    <n v="9"/>
    <n v="1970"/>
  </r>
  <r>
    <x v="264"/>
    <x v="264"/>
    <n v="2019"/>
    <x v="147"/>
    <x v="169"/>
    <s v="en"/>
    <s v=""/>
    <x v="7"/>
    <n v="83"/>
    <n v="8.1999999999999993"/>
    <n v="82"/>
    <n v="722017"/>
    <n v="78"/>
    <n v="82"/>
    <n v="295"/>
    <n v="86"/>
    <n v="523306"/>
    <n v="82"/>
    <n v="1473895"/>
    <n v="89"/>
    <s v="paramount, netflix, itunes, amzvid"/>
    <n v="83.17"/>
    <n v="-4"/>
    <n v="2010"/>
  </r>
  <r>
    <x v="265"/>
    <x v="265"/>
    <n v="2014"/>
    <x v="148"/>
    <x v="81"/>
    <s v="en"/>
    <s v="Won 1 Oscar. Another 44 wins &amp; 102 nominations."/>
    <x v="0"/>
    <n v="82"/>
    <n v="8.6999999999999993"/>
    <n v="87"/>
    <n v="2317550"/>
    <n v="74"/>
    <n v="72"/>
    <n v="250"/>
    <n v="85"/>
    <n v="1339544"/>
    <n v="88"/>
    <n v="3653428"/>
    <n v="92"/>
    <s v="prime, paramount, itunes, amzvid"/>
    <n v="83"/>
    <n v="-13"/>
    <n v="2010"/>
  </r>
  <r>
    <x v="266"/>
    <x v="266"/>
    <n v="2001"/>
    <x v="107"/>
    <x v="95"/>
    <s v="en"/>
    <s v="Won 1 Oscar. Another 16 wins &amp; 34 nominations."/>
    <x v="67"/>
    <n v="82"/>
    <n v="8.1"/>
    <n v="81"/>
    <n v="1020910"/>
    <n v="79"/>
    <n v="81"/>
    <n v="129"/>
    <n v="87"/>
    <n v="1370738"/>
    <n v="82"/>
    <n v="1602939"/>
    <n v="88"/>
    <s v="disney, itunes, amzvid"/>
    <n v="83"/>
    <n v="-6"/>
    <n v="2000"/>
  </r>
  <r>
    <x v="267"/>
    <x v="267"/>
    <n v="1988"/>
    <x v="149"/>
    <x v="181"/>
    <s v="en"/>
    <s v="Nominated for 4 Oscars. Another 6 wins &amp; 2 nominations."/>
    <x v="14"/>
    <n v="82"/>
    <n v="8.1999999999999993"/>
    <n v="82"/>
    <n v="985232"/>
    <n v="72"/>
    <n v="83"/>
    <n v="76"/>
    <n v="90"/>
    <n v="676199"/>
    <n v="82"/>
    <n v="877027"/>
    <n v="89"/>
    <s v="prime, itunes, amzvid"/>
    <n v="83"/>
    <n v="-7"/>
    <n v="1980"/>
  </r>
  <r>
    <x v="268"/>
    <x v="268"/>
    <n v="1991"/>
    <x v="150"/>
    <x v="34"/>
    <s v="en"/>
    <s v="Won 1 Oscar. Another 16 wins &amp; 35 nominations."/>
    <x v="13"/>
    <n v="83"/>
    <n v="7.6"/>
    <n v="76"/>
    <n v="182168"/>
    <n v="89"/>
    <n v="82"/>
    <n v="93"/>
    <n v="80"/>
    <n v="233243"/>
    <n v="84"/>
    <n v="358609"/>
    <n v="87"/>
    <s v="paramount, prime, itunes, amzvid"/>
    <n v="83"/>
    <n v="2"/>
    <n v="1990"/>
  </r>
  <r>
    <x v="269"/>
    <x v="269"/>
    <n v="2014"/>
    <x v="2"/>
    <x v="182"/>
    <s v="tr"/>
    <s v="18 wins &amp; 21 nominations."/>
    <x v="86"/>
    <n v="83"/>
    <n v="8"/>
    <n v="80"/>
    <n v="57337"/>
    <n v="88"/>
    <n v="84"/>
    <n v="70"/>
    <n v="81"/>
    <n v="18662"/>
    <n v="84"/>
    <n v="44413"/>
    <n v="81"/>
    <s v="itunes, amzvid"/>
    <n v="83"/>
    <n v="3"/>
    <n v="2010"/>
  </r>
  <r>
    <x v="270"/>
    <x v="270"/>
    <n v="2005"/>
    <x v="11"/>
    <x v="89"/>
    <s v="en"/>
    <s v="Won 3 Oscars. Another 119 wins &amp; 100 nominations."/>
    <x v="25"/>
    <n v="83"/>
    <n v="7.7"/>
    <n v="77"/>
    <n v="399071"/>
    <n v="87"/>
    <n v="83"/>
    <n v="148"/>
    <n v="81"/>
    <n v="679747"/>
    <n v="82"/>
    <n v="998353"/>
    <n v="88"/>
    <s v="prime, itunes"/>
    <n v="83"/>
    <n v="2"/>
    <n v="2000"/>
  </r>
  <r>
    <x v="271"/>
    <x v="271"/>
    <n v="1999"/>
    <x v="2"/>
    <x v="119"/>
    <s v="en"/>
    <s v="Nominated for 1 Oscar. Another 10 wins &amp; 22 nominations."/>
    <x v="14"/>
    <n v="81"/>
    <n v="8.8000000000000007"/>
    <n v="88"/>
    <n v="2444413"/>
    <n v="67"/>
    <n v="72"/>
    <n v="120"/>
    <n v="93"/>
    <n v="1908799"/>
    <n v="86"/>
    <n v="3533146"/>
    <n v="92"/>
    <s v="itunes, amzvid"/>
    <n v="83"/>
    <n v="-21"/>
    <n v="1990"/>
  </r>
  <r>
    <x v="272"/>
    <x v="272"/>
    <n v="1993"/>
    <x v="151"/>
    <x v="183"/>
    <s v="en"/>
    <s v="Won 1 Oscar. Another 12 wins &amp; 24 nominations."/>
    <x v="11"/>
    <n v="82"/>
    <n v="7.8"/>
    <n v="78"/>
    <n v="331366"/>
    <n v="87"/>
    <n v="83"/>
    <n v="58"/>
    <n v="85"/>
    <n v="249088"/>
    <n v="78"/>
    <n v="210713"/>
    <n v="87"/>
    <s v="amzvid"/>
    <n v="83"/>
    <n v="-2"/>
    <n v="1990"/>
  </r>
  <r>
    <x v="273"/>
    <x v="273"/>
    <n v="2012"/>
    <x v="152"/>
    <x v="184"/>
    <s v="en"/>
    <s v="Won 1 Oscar. Another 39 wins &amp; 29 nominations."/>
    <x v="15"/>
    <n v="82"/>
    <n v="8.1999999999999993"/>
    <n v="82"/>
    <n v="74554"/>
    <n v="79"/>
    <n v="80"/>
    <n v="105"/>
    <n v="88"/>
    <n v="32711"/>
    <n v="82"/>
    <n v="59199"/>
    <n v="87"/>
    <s v="itunes, amzvid"/>
    <n v="83"/>
    <n v="-8"/>
    <n v="2010"/>
  </r>
  <r>
    <x v="274"/>
    <x v="274"/>
    <n v="2019"/>
    <x v="153"/>
    <x v="185"/>
    <s v="en"/>
    <s v=""/>
    <x v="7"/>
    <n v="82"/>
    <n v="7.9"/>
    <n v="79"/>
    <n v="812389"/>
    <n v="82"/>
    <n v="83"/>
    <n v="292"/>
    <n v="88"/>
    <n v="1010904"/>
    <n v="80"/>
    <n v="2915105"/>
    <n v="86"/>
    <s v="prime, itunes, amzvid"/>
    <n v="83"/>
    <n v="-5"/>
    <n v="2010"/>
  </r>
  <r>
    <x v="275"/>
    <x v="275"/>
    <n v="2001"/>
    <x v="154"/>
    <x v="186"/>
    <s v="en"/>
    <s v="11 wins &amp; 14 nominations."/>
    <x v="87"/>
    <n v="83"/>
    <n v="8"/>
    <n v="80"/>
    <n v="878010"/>
    <n v="88"/>
    <n v="80"/>
    <n v="129"/>
    <n v="79"/>
    <n v="21170832"/>
    <n v="80"/>
    <n v="1543362"/>
    <n v="91"/>
    <s v="hulu, prime, itunes, amzvid, hbm"/>
    <n v="83"/>
    <n v="1"/>
    <n v="2000"/>
  </r>
  <r>
    <x v="276"/>
    <x v="276"/>
    <n v="2020"/>
    <x v="2"/>
    <x v="187"/>
    <s v="en"/>
    <s v=""/>
    <x v="7"/>
    <n v="83"/>
    <n v="7.4"/>
    <n v="74"/>
    <n v="103373"/>
    <n v="89"/>
    <n v="88"/>
    <n v="191"/>
    <m/>
    <n v="151806"/>
    <n v="82"/>
    <n v="450850"/>
    <n v="82"/>
    <s v=""/>
    <n v="83"/>
    <n v="88"/>
    <n v="2020"/>
  </r>
  <r>
    <x v="277"/>
    <x v="277"/>
    <n v="2014"/>
    <x v="71"/>
    <x v="188"/>
    <s v="en"/>
    <s v="Won 1 Oscar. Another 44 wins &amp; 24 nominations."/>
    <x v="88"/>
    <n v="83"/>
    <n v="8"/>
    <n v="80"/>
    <n v="58960"/>
    <n v="88"/>
    <n v="84"/>
    <n v="101"/>
    <n v="84"/>
    <n v="28783"/>
    <n v="80"/>
    <n v="45653"/>
    <n v="82"/>
    <s v="itunes, amzvid"/>
    <n v="83"/>
    <n v="0"/>
    <n v="2010"/>
  </r>
  <r>
    <x v="278"/>
    <x v="278"/>
    <n v="2021"/>
    <x v="155"/>
    <x v="189"/>
    <s v="da"/>
    <s v=""/>
    <x v="7"/>
    <n v="83"/>
    <n v="7.9"/>
    <n v="79"/>
    <n v="20464"/>
    <n v="91"/>
    <n v="87"/>
    <n v="114"/>
    <m/>
    <n v="25799"/>
    <n v="84"/>
    <n v="76686"/>
    <n v="74"/>
    <s v=""/>
    <n v="83"/>
    <n v="87"/>
    <n v="2020"/>
  </r>
  <r>
    <x v="279"/>
    <x v="279"/>
    <n v="2016"/>
    <x v="156"/>
    <x v="190"/>
    <s v="en"/>
    <s v=""/>
    <x v="7"/>
    <n v="83"/>
    <n v="7.6"/>
    <n v="76"/>
    <n v="263679"/>
    <n v="88"/>
    <n v="86"/>
    <n v="178"/>
    <n v="84"/>
    <n v="124126"/>
    <n v="78"/>
    <n v="290820"/>
    <n v="86"/>
    <s v="peacock, itunes, amzvid"/>
    <n v="83"/>
    <n v="2"/>
    <n v="2010"/>
  </r>
  <r>
    <x v="280"/>
    <x v="280"/>
    <n v="2012"/>
    <x v="6"/>
    <x v="99"/>
    <s v="en"/>
    <s v="Nominated for 1 Oscar. Another 49 wins &amp; 99 nominations."/>
    <x v="25"/>
    <n v="83"/>
    <n v="7.8"/>
    <n v="78"/>
    <n v="373550"/>
    <n v="84"/>
    <n v="83"/>
    <n v="193"/>
    <n v="83"/>
    <n v="380053"/>
    <n v="80"/>
    <n v="859763"/>
    <n v="90"/>
    <s v="itunes, amzvid"/>
    <n v="83"/>
    <n v="0"/>
    <n v="2010"/>
  </r>
  <r>
    <x v="281"/>
    <x v="281"/>
    <n v="1999"/>
    <x v="157"/>
    <x v="138"/>
    <s v="en"/>
    <s v="Nominated for 3 Oscars. Another 46 wins &amp; 72 nominations."/>
    <x v="74"/>
    <n v="83"/>
    <n v="7.7"/>
    <n v="77"/>
    <n v="361221"/>
    <n v="90"/>
    <n v="85"/>
    <n v="97"/>
    <n v="83"/>
    <n v="311216"/>
    <n v="82"/>
    <n v="407637"/>
    <n v="81"/>
    <s v="prime, itunes, amzvid"/>
    <n v="83"/>
    <n v="2"/>
    <n v="1990"/>
  </r>
  <r>
    <x v="282"/>
    <x v="282"/>
    <n v="1998"/>
    <x v="61"/>
    <x v="99"/>
    <s v="en"/>
    <s v="Nominated for 1 Golden Globe. Another 17 wins &amp; 13 nominations."/>
    <x v="72"/>
    <n v="82"/>
    <n v="7.6"/>
    <n v="76"/>
    <n v="202326"/>
    <n v="87"/>
    <n v="83"/>
    <n v="81"/>
    <n v="86"/>
    <n v="248947"/>
    <n v="78"/>
    <n v="373878"/>
    <n v="87"/>
    <s v="prime, amzvid"/>
    <n v="82.83"/>
    <n v="-3"/>
    <n v="1990"/>
  </r>
  <r>
    <x v="283"/>
    <x v="283"/>
    <n v="2007"/>
    <x v="71"/>
    <x v="191"/>
    <s v="en"/>
    <s v="11 wins &amp; 6 nominations."/>
    <x v="16"/>
    <n v="81"/>
    <n v="8"/>
    <n v="80"/>
    <n v="38102"/>
    <n v="83"/>
    <n v="82"/>
    <n v="67"/>
    <n v="89"/>
    <n v="30025"/>
    <n v="80"/>
    <n v="31535"/>
    <n v="83"/>
    <s v="itunes, amzvid"/>
    <n v="82.83"/>
    <n v="-7"/>
    <n v="2000"/>
  </r>
  <r>
    <x v="284"/>
    <x v="284"/>
    <n v="1979"/>
    <x v="96"/>
    <x v="192"/>
    <s v="en"/>
    <s v=""/>
    <x v="11"/>
    <n v="82"/>
    <n v="8"/>
    <n v="80"/>
    <n v="427854"/>
    <n v="77"/>
    <n v="82"/>
    <n v="51"/>
    <n v="89"/>
    <n v="278190"/>
    <n v="80"/>
    <n v="316121"/>
    <n v="89"/>
    <s v="prime, peacock, itunes, amzvid"/>
    <n v="82.83"/>
    <n v="-7"/>
    <n v="1970"/>
  </r>
  <r>
    <x v="285"/>
    <x v="285"/>
    <n v="2013"/>
    <x v="158"/>
    <x v="7"/>
    <s v="ja"/>
    <s v="Nominated for 1 Oscar. Another 26 wins &amp; 45 nominations."/>
    <x v="6"/>
    <n v="83"/>
    <n v="7.8"/>
    <n v="78"/>
    <n v="105398"/>
    <n v="83"/>
    <n v="81"/>
    <n v="127"/>
    <n v="83"/>
    <n v="133289"/>
    <n v="82"/>
    <n v="353433"/>
    <n v="90"/>
    <s v="hbm, amzvid"/>
    <n v="82.83"/>
    <n v="-2"/>
    <n v="2010"/>
  </r>
  <r>
    <x v="286"/>
    <x v="286"/>
    <n v="1967"/>
    <x v="37"/>
    <x v="193"/>
    <s v="en"/>
    <s v="Won 2 Oscars. Another 19 wins &amp; 26 nominations."/>
    <x v="89"/>
    <n v="82"/>
    <n v="7.7"/>
    <n v="77"/>
    <n v="124188"/>
    <n v="86"/>
    <n v="85"/>
    <n v="51"/>
    <n v="84"/>
    <n v="79491"/>
    <n v="78"/>
    <n v="124995"/>
    <n v="87"/>
    <s v="itunes, amzvid, hbm"/>
    <n v="82.83"/>
    <n v="1"/>
    <n v="1960"/>
  </r>
  <r>
    <x v="287"/>
    <x v="287"/>
    <n v="2016"/>
    <x v="159"/>
    <x v="194"/>
    <s v="en"/>
    <s v=""/>
    <x v="7"/>
    <n v="82"/>
    <n v="7.9"/>
    <n v="79"/>
    <n v="104227"/>
    <n v="79"/>
    <n v="80"/>
    <n v="154"/>
    <n v="88"/>
    <n v="102191"/>
    <n v="80"/>
    <n v="272265"/>
    <n v="91"/>
    <s v="itunes, amzvid"/>
    <n v="82.83"/>
    <n v="-8"/>
    <n v="2010"/>
  </r>
  <r>
    <x v="288"/>
    <x v="288"/>
    <n v="2009"/>
    <x v="2"/>
    <x v="19"/>
    <s v="fa"/>
    <s v="13 wins &amp; 8 nominations."/>
    <x v="90"/>
    <n v="83"/>
    <n v="7.9"/>
    <n v="79"/>
    <n v="58907"/>
    <n v="87"/>
    <n v="83"/>
    <n v="59"/>
    <n v="81"/>
    <n v="17593"/>
    <n v="82"/>
    <n v="37114"/>
    <n v="85"/>
    <s v="itunes"/>
    <n v="82.83"/>
    <n v="2"/>
    <n v="2000"/>
  </r>
  <r>
    <x v="289"/>
    <x v="289"/>
    <n v="2004"/>
    <x v="3"/>
    <x v="195"/>
    <s v="en"/>
    <s v="Nominated for 3 Oscars. Another 18 wins &amp; 37 nominations."/>
    <x v="13"/>
    <n v="82"/>
    <n v="8.1"/>
    <n v="81"/>
    <n v="382301"/>
    <n v="79"/>
    <n v="80"/>
    <n v="107"/>
    <n v="89"/>
    <n v="198334"/>
    <n v="76"/>
    <n v="111662"/>
    <n v="92"/>
    <s v="prime, itunes, amzvid, hbm"/>
    <n v="82.83"/>
    <n v="-9"/>
    <n v="2000"/>
  </r>
  <r>
    <x v="290"/>
    <x v="290"/>
    <n v="2017"/>
    <x v="2"/>
    <x v="196"/>
    <s v="en"/>
    <s v=""/>
    <x v="7"/>
    <n v="84"/>
    <n v="7.6"/>
    <n v="76"/>
    <n v="138468"/>
    <n v="92"/>
    <n v="89"/>
    <n v="201"/>
    <n v="78"/>
    <n v="269777"/>
    <n v="82"/>
    <n v="781527"/>
    <n v="80"/>
    <s v="itunes, amzvid"/>
    <n v="82.83"/>
    <n v="11"/>
    <n v="2010"/>
  </r>
  <r>
    <x v="291"/>
    <x v="291"/>
    <n v="2017"/>
    <x v="85"/>
    <x v="197"/>
    <s v="en"/>
    <s v=""/>
    <x v="7"/>
    <n v="82"/>
    <n v="7.6"/>
    <n v="76"/>
    <n v="38105"/>
    <n v="85"/>
    <n v="81"/>
    <n v="79"/>
    <n v="84"/>
    <n v="39645"/>
    <n v="80"/>
    <n v="109702"/>
    <n v="91"/>
    <s v="mubi, prime, itunes, amzvid"/>
    <n v="82.83"/>
    <n v="-3"/>
    <n v="2010"/>
  </r>
  <r>
    <x v="292"/>
    <x v="292"/>
    <n v="2017"/>
    <x v="160"/>
    <x v="198"/>
    <s v="en"/>
    <s v=""/>
    <x v="7"/>
    <n v="83"/>
    <n v="7.8"/>
    <n v="78"/>
    <n v="753306"/>
    <n v="85"/>
    <n v="84"/>
    <n v="250"/>
    <n v="83"/>
    <n v="1085375"/>
    <n v="82"/>
    <n v="3098595"/>
    <n v="85"/>
    <s v="netflix, hbo, itunes"/>
    <n v="82.83"/>
    <n v="1"/>
    <n v="2010"/>
  </r>
  <r>
    <x v="293"/>
    <x v="293"/>
    <n v="2001"/>
    <x v="13"/>
    <x v="199"/>
    <s v="fr"/>
    <s v="Nominated for 5 Oscars. Another 56 wins &amp; 62 nominations."/>
    <x v="4"/>
    <n v="82"/>
    <n v="8.3000000000000007"/>
    <n v="83"/>
    <n v="815152"/>
    <n v="70"/>
    <n v="79"/>
    <n v="124"/>
    <n v="91"/>
    <n v="621390"/>
    <n v="84"/>
    <n v="925105"/>
    <n v="90"/>
    <s v=""/>
    <n v="82.83"/>
    <n v="-12"/>
    <n v="2000"/>
  </r>
  <r>
    <x v="294"/>
    <x v="294"/>
    <n v="2019"/>
    <x v="61"/>
    <x v="200"/>
    <s v="en"/>
    <s v=""/>
    <x v="7"/>
    <n v="83"/>
    <n v="7.5"/>
    <n v="75"/>
    <n v="73622"/>
    <n v="89"/>
    <n v="86"/>
    <n v="190"/>
    <n v="83"/>
    <n v="103916"/>
    <n v="82"/>
    <n v="299538"/>
    <n v="82"/>
    <s v="itunes, amzvid"/>
    <n v="82.83"/>
    <n v="3"/>
    <n v="2010"/>
  </r>
  <r>
    <x v="295"/>
    <x v="295"/>
    <n v="2020"/>
    <x v="161"/>
    <x v="95"/>
    <s v="en"/>
    <s v=""/>
    <x v="7"/>
    <n v="82"/>
    <n v="8"/>
    <n v="80"/>
    <n v="405577"/>
    <n v="83"/>
    <n v="83"/>
    <n v="148"/>
    <n v="86"/>
    <n v="576362"/>
    <n v="78"/>
    <n v="1712850"/>
    <n v="87"/>
    <s v="disney"/>
    <n v="82.83"/>
    <n v="-3"/>
    <n v="2020"/>
  </r>
  <r>
    <x v="296"/>
    <x v="296"/>
    <n v="1952"/>
    <x v="162"/>
    <x v="201"/>
    <s v="en"/>
    <s v="Won 4 Oscars. Another 13 wins &amp; 10 nominations."/>
    <x v="8"/>
    <n v="82"/>
    <n v="7.9"/>
    <n v="79"/>
    <n v="113131"/>
    <n v="89"/>
    <n v="88"/>
    <n v="63"/>
    <n v="86"/>
    <n v="40999"/>
    <n v="80"/>
    <n v="71815"/>
    <n v="75"/>
    <s v="itunes, amzvid"/>
    <n v="82.83"/>
    <n v="2"/>
    <n v="1950"/>
  </r>
  <r>
    <x v="297"/>
    <x v="297"/>
    <n v="2009"/>
    <x v="163"/>
    <x v="99"/>
    <s v="en"/>
    <s v="Nominated for 2 Oscars. Another 47 wins &amp; 35 nominations."/>
    <x v="14"/>
    <n v="83"/>
    <n v="7.9"/>
    <n v="79"/>
    <n v="283948"/>
    <n v="83"/>
    <n v="80"/>
    <n v="170"/>
    <n v="83"/>
    <n v="705851"/>
    <n v="86"/>
    <n v="1810535"/>
    <n v="86"/>
    <s v="disney, itunes, amzvid"/>
    <n v="82.83"/>
    <n v="-3"/>
    <n v="2000"/>
  </r>
  <r>
    <x v="298"/>
    <x v="298"/>
    <n v="2015"/>
    <x v="2"/>
    <x v="202"/>
    <s v="pt"/>
    <s v="5 wins &amp; 2 nominations."/>
    <x v="91"/>
    <n v="82"/>
    <n v="7.8"/>
    <n v="78"/>
    <n v="18170"/>
    <n v="82"/>
    <n v="81"/>
    <n v="64"/>
    <n v="87"/>
    <n v="37837"/>
    <n v="84"/>
    <n v="109131"/>
    <n v="85"/>
    <s v="amzvid, itunes"/>
    <n v="82.83"/>
    <n v="-6"/>
    <n v="2010"/>
  </r>
  <r>
    <x v="299"/>
    <x v="299"/>
    <n v="2023"/>
    <x v="164"/>
    <x v="203"/>
    <s v="ja"/>
    <s v=""/>
    <x v="7"/>
    <n v="83"/>
    <n v="7.7"/>
    <n v="77"/>
    <n v="166961"/>
    <n v="81"/>
    <n v="84"/>
    <n v="132"/>
    <m/>
    <n v="237844"/>
    <n v="82"/>
    <n v="692084"/>
    <n v="90"/>
    <s v="netflix"/>
    <n v="82.8"/>
    <n v="84"/>
    <n v="2020"/>
  </r>
  <r>
    <x v="300"/>
    <x v="300"/>
    <n v="1922"/>
    <x v="165"/>
    <x v="204"/>
    <s v="de"/>
    <s v="1 win &amp; 1 nomination."/>
    <x v="92"/>
    <n v="81"/>
    <n v="7.8"/>
    <n v="78"/>
    <n v="118037"/>
    <m/>
    <n v="91"/>
    <n v="76"/>
    <n v="84"/>
    <n v="142118"/>
    <n v="76"/>
    <n v="329860"/>
    <n v="85"/>
    <s v="itunes, amzvid"/>
    <n v="82.8"/>
    <n v="7"/>
    <n v="1920"/>
  </r>
  <r>
    <x v="301"/>
    <x v="301"/>
    <n v="2023"/>
    <x v="166"/>
    <x v="205"/>
    <s v="it"/>
    <s v=""/>
    <x v="7"/>
    <n v="82"/>
    <n v="7.3"/>
    <n v="73"/>
    <n v="16724"/>
    <n v="91"/>
    <n v="84"/>
    <n v="85"/>
    <m/>
    <n v="64020"/>
    <n v="82"/>
    <n v="192062"/>
    <n v="84"/>
    <s v="hulu"/>
    <n v="82.8"/>
    <n v="84"/>
    <n v="2020"/>
  </r>
  <r>
    <x v="302"/>
    <x v="302"/>
    <n v="2021"/>
    <x v="121"/>
    <x v="206"/>
    <s v="no"/>
    <s v=""/>
    <x v="7"/>
    <n v="83"/>
    <n v="7.7"/>
    <n v="77"/>
    <n v="109990"/>
    <n v="91"/>
    <n v="88"/>
    <n v="153"/>
    <m/>
    <n v="220149"/>
    <n v="82"/>
    <n v="658493"/>
    <n v="76"/>
    <s v=""/>
    <n v="82.8"/>
    <n v="88"/>
    <n v="2020"/>
  </r>
  <r>
    <x v="303"/>
    <x v="303"/>
    <n v="2015"/>
    <x v="85"/>
    <x v="207"/>
    <s v="en"/>
    <s v=""/>
    <x v="7"/>
    <n v="84"/>
    <n v="7.3"/>
    <n v="73"/>
    <n v="148047"/>
    <n v="94"/>
    <n v="88"/>
    <n v="210"/>
    <n v="74"/>
    <n v="185804"/>
    <n v="80"/>
    <n v="496700"/>
    <n v="87"/>
    <s v="itunes, amzvid"/>
    <n v="82.67"/>
    <n v="14"/>
    <n v="2010"/>
  </r>
  <r>
    <x v="304"/>
    <x v="304"/>
    <n v="2016"/>
    <x v="167"/>
    <x v="208"/>
    <s v="en"/>
    <s v=""/>
    <x v="7"/>
    <n v="82"/>
    <n v="7.8"/>
    <n v="78"/>
    <n v="147301"/>
    <n v="81"/>
    <n v="80"/>
    <n v="131"/>
    <n v="87"/>
    <n v="120665"/>
    <n v="82"/>
    <n v="311081"/>
    <n v="88"/>
    <s v="prime, itunes, amzvid"/>
    <n v="82.67"/>
    <n v="-7"/>
    <n v="2010"/>
  </r>
  <r>
    <x v="305"/>
    <x v="305"/>
    <n v="2006"/>
    <x v="168"/>
    <x v="194"/>
    <s v="en"/>
    <s v="Won 1 Oscar. Another 21 wins &amp; 27 nominations."/>
    <x v="50"/>
    <n v="82"/>
    <n v="7.8"/>
    <n v="78"/>
    <n v="123059"/>
    <n v="90"/>
    <n v="85"/>
    <n v="109"/>
    <n v="86"/>
    <n v="158469"/>
    <n v="78"/>
    <n v="93064"/>
    <n v="79"/>
    <s v="peacock, disney, itunes, amzvid"/>
    <n v="82.67"/>
    <n v="-1"/>
    <n v="2000"/>
  </r>
  <r>
    <x v="306"/>
    <x v="306"/>
    <n v="2001"/>
    <x v="169"/>
    <x v="209"/>
    <s v="en"/>
    <s v="Won 1 Oscar. Another 36 wins &amp; 51 nominations."/>
    <x v="93"/>
    <n v="82"/>
    <n v="7.9"/>
    <n v="79"/>
    <n v="767731"/>
    <n v="84"/>
    <n v="80"/>
    <n v="122"/>
    <n v="86"/>
    <n v="1511622"/>
    <n v="82"/>
    <n v="1777380"/>
    <n v="85"/>
    <s v="peacock, hulu, itunes, amzvid"/>
    <n v="82.67"/>
    <n v="-6"/>
    <n v="2000"/>
  </r>
  <r>
    <x v="307"/>
    <x v="307"/>
    <n v="2008"/>
    <x v="11"/>
    <x v="210"/>
    <s v="en"/>
    <s v="Nominated for 2 Oscars. Another 61 wins &amp; 53 nominations."/>
    <x v="65"/>
    <n v="83"/>
    <n v="7.9"/>
    <n v="79"/>
    <n v="324931"/>
    <n v="80"/>
    <n v="84"/>
    <n v="153"/>
    <n v="84"/>
    <n v="155576"/>
    <n v="82"/>
    <n v="185017"/>
    <n v="87"/>
    <s v="hulu, disney, itunes, amzvid, hbm"/>
    <n v="82.67"/>
    <n v="0"/>
    <n v="2000"/>
  </r>
  <r>
    <x v="308"/>
    <x v="308"/>
    <n v="2011"/>
    <x v="170"/>
    <x v="211"/>
    <s v="fr"/>
    <s v="Won 5 Oscars. Another 156 wins &amp; 152 nominations."/>
    <x v="56"/>
    <n v="82"/>
    <n v="7.8"/>
    <n v="78"/>
    <n v="251867"/>
    <n v="89"/>
    <n v="88"/>
    <n v="243"/>
    <n v="84"/>
    <n v="88332"/>
    <n v="76"/>
    <n v="147420"/>
    <n v="81"/>
    <s v="amzvid"/>
    <n v="82.67"/>
    <n v="4"/>
    <n v="2010"/>
  </r>
  <r>
    <x v="309"/>
    <x v="309"/>
    <n v="1939"/>
    <x v="61"/>
    <x v="24"/>
    <s v="en"/>
    <s v="Won 1 Oscar. Another 4 wins &amp; 11 nominations."/>
    <x v="94"/>
    <n v="82"/>
    <n v="8.1"/>
    <n v="81"/>
    <n v="125223"/>
    <n v="73"/>
    <n v="81"/>
    <n v="61"/>
    <n v="90"/>
    <n v="50349"/>
    <n v="82"/>
    <n v="59111"/>
    <n v="89"/>
    <s v="itunes, amzvid"/>
    <n v="82.67"/>
    <n v="-9"/>
    <n v="1930"/>
  </r>
  <r>
    <x v="310"/>
    <x v="310"/>
    <n v="2002"/>
    <x v="171"/>
    <x v="212"/>
    <s v="zh"/>
    <s v=""/>
    <x v="7"/>
    <n v="82"/>
    <n v="7.9"/>
    <n v="79"/>
    <n v="190396"/>
    <n v="85"/>
    <n v="83"/>
    <n v="114"/>
    <n v="84"/>
    <n v="197619"/>
    <n v="80"/>
    <n v="93431"/>
    <n v="85"/>
    <s v="itunes, amzvid"/>
    <n v="82.67"/>
    <n v="-1"/>
    <n v="2000"/>
  </r>
  <r>
    <x v="311"/>
    <x v="311"/>
    <n v="1980"/>
    <x v="101"/>
    <x v="11"/>
    <s v="en"/>
    <s v="3 wins &amp; 5 nominations."/>
    <x v="11"/>
    <n v="82"/>
    <n v="8.4"/>
    <n v="84"/>
    <n v="1159459"/>
    <n v="68"/>
    <n v="82"/>
    <n v="121"/>
    <n v="90"/>
    <n v="1061936"/>
    <n v="84"/>
    <n v="2218109"/>
    <n v="88"/>
    <s v="itunes, amzvid, hbm"/>
    <n v="82.67"/>
    <n v="-8"/>
    <n v="1980"/>
  </r>
  <r>
    <x v="312"/>
    <x v="312"/>
    <n v="2010"/>
    <x v="71"/>
    <x v="213"/>
    <s v="en"/>
    <s v="Nominated for 1 Oscar. Another 26 wins &amp; 23 nominations."/>
    <x v="95"/>
    <n v="82"/>
    <n v="7.9"/>
    <n v="79"/>
    <n v="69834"/>
    <n v="85"/>
    <n v="82"/>
    <n v="91"/>
    <n v="87"/>
    <n v="35498"/>
    <n v="78"/>
    <n v="56964"/>
    <n v="85"/>
    <s v="itunes"/>
    <n v="82.67"/>
    <n v="-5"/>
    <n v="2010"/>
  </r>
  <r>
    <x v="313"/>
    <x v="313"/>
    <n v="2008"/>
    <x v="172"/>
    <x v="214"/>
    <s v="sv"/>
    <s v="Nominated for 1 BAFTA Film Award. Another 72 wins &amp; 42 nominations."/>
    <x v="96"/>
    <n v="82"/>
    <n v="7.8"/>
    <n v="78"/>
    <n v="232716"/>
    <n v="82"/>
    <n v="83"/>
    <n v="175"/>
    <n v="86"/>
    <n v="104611"/>
    <n v="80"/>
    <n v="190294"/>
    <n v="87"/>
    <s v="prime, itunes, amzvid"/>
    <n v="82.67"/>
    <n v="-3"/>
    <n v="2000"/>
  </r>
  <r>
    <x v="314"/>
    <x v="314"/>
    <n v="2024"/>
    <x v="170"/>
    <x v="196"/>
    <s v="en"/>
    <s v=""/>
    <x v="7"/>
    <n v="82"/>
    <n v="7.6"/>
    <n v="76"/>
    <n v="150547"/>
    <n v="91"/>
    <n v="87"/>
    <n v="193"/>
    <m/>
    <m/>
    <n v="78"/>
    <n v="1494086"/>
    <n v="81"/>
    <s v="hulu"/>
    <n v="82.6"/>
    <n v="87"/>
    <n v="2020"/>
  </r>
  <r>
    <x v="315"/>
    <x v="315"/>
    <n v="2022"/>
    <x v="2"/>
    <x v="215"/>
    <s v="fr"/>
    <s v=""/>
    <x v="7"/>
    <n v="83"/>
    <n v="7.8"/>
    <n v="78"/>
    <n v="42931"/>
    <n v="81"/>
    <n v="83"/>
    <n v="90"/>
    <m/>
    <n v="120210"/>
    <n v="82"/>
    <n v="359461"/>
    <n v="89"/>
    <s v="paramount"/>
    <n v="82.6"/>
    <n v="83"/>
    <n v="2020"/>
  </r>
  <r>
    <x v="316"/>
    <x v="316"/>
    <n v="2022"/>
    <x v="173"/>
    <x v="142"/>
    <s v="en"/>
    <s v=""/>
    <x v="7"/>
    <n v="83"/>
    <n v="7.7"/>
    <n v="77"/>
    <n v="277579"/>
    <n v="87"/>
    <n v="87"/>
    <n v="220"/>
    <m/>
    <n v="343964"/>
    <n v="82"/>
    <n v="1020113"/>
    <n v="80"/>
    <s v=""/>
    <n v="82.6"/>
    <n v="87"/>
    <n v="2020"/>
  </r>
  <r>
    <x v="317"/>
    <x v="317"/>
    <n v="2006"/>
    <x v="61"/>
    <x v="216"/>
    <s v="en"/>
    <s v="Won 2 Oscars. Another 65 wins &amp; 96 nominations."/>
    <x v="50"/>
    <n v="81"/>
    <n v="7.8"/>
    <n v="78"/>
    <n v="534824"/>
    <n v="80"/>
    <n v="79"/>
    <n v="136"/>
    <n v="87"/>
    <n v="765429"/>
    <n v="84"/>
    <n v="1440499"/>
    <n v="87"/>
    <s v="itunes, amzvid, hbm"/>
    <n v="82.5"/>
    <n v="-8"/>
    <n v="2000"/>
  </r>
  <r>
    <x v="318"/>
    <x v="318"/>
    <n v="1988"/>
    <x v="174"/>
    <x v="37"/>
    <s v="en"/>
    <s v="Won 3 Oscars. Another 19 wins &amp; 21 nominations."/>
    <x v="67"/>
    <n v="83"/>
    <n v="7.7"/>
    <n v="77"/>
    <n v="224493"/>
    <n v="83"/>
    <n v="85"/>
    <n v="60"/>
    <n v="81"/>
    <n v="407748"/>
    <n v="80"/>
    <n v="336854"/>
    <n v="89"/>
    <s v="disney, itunes, amzvid"/>
    <n v="82.5"/>
    <n v="4"/>
    <n v="1980"/>
  </r>
  <r>
    <x v="319"/>
    <x v="319"/>
    <n v="2008"/>
    <x v="175"/>
    <x v="7"/>
    <s v="ja"/>
    <s v="11 wins &amp; 15 nominations."/>
    <x v="6"/>
    <n v="82"/>
    <n v="7.6"/>
    <n v="76"/>
    <n v="173372"/>
    <n v="86"/>
    <n v="79"/>
    <n v="103"/>
    <n v="81"/>
    <n v="346409"/>
    <n v="82"/>
    <n v="843361"/>
    <n v="91"/>
    <s v="itunes, amzvid, hbm"/>
    <n v="82.5"/>
    <n v="-2"/>
    <n v="2000"/>
  </r>
  <r>
    <x v="320"/>
    <x v="320"/>
    <n v="1994"/>
    <x v="176"/>
    <x v="217"/>
    <s v="en"/>
    <s v="Nominated for 4 Oscars. Another 13 wins &amp; 14 nominations."/>
    <x v="97"/>
    <n v="82"/>
    <n v="7.5"/>
    <n v="75"/>
    <n v="75122"/>
    <n v="92"/>
    <n v="86"/>
    <n v="58"/>
    <n v="83"/>
    <n v="36625"/>
    <n v="76"/>
    <n v="46508"/>
    <n v="83"/>
    <s v="itunes, amzvid"/>
    <n v="82.5"/>
    <n v="3"/>
    <n v="1990"/>
  </r>
  <r>
    <x v="321"/>
    <x v="321"/>
    <n v="1937"/>
    <x v="51"/>
    <x v="218"/>
    <s v="en"/>
    <s v=""/>
    <x v="7"/>
    <n v="82"/>
    <n v="7.6"/>
    <n v="76"/>
    <n v="229319"/>
    <n v="96"/>
    <n v="90"/>
    <n v="79"/>
    <m/>
    <n v="454795"/>
    <n v="68"/>
    <n v="422740"/>
    <n v="82"/>
    <s v="disney, itunes, amzvid"/>
    <n v="82.4"/>
    <n v="90"/>
    <n v="1930"/>
  </r>
  <r>
    <x v="322"/>
    <x v="322"/>
    <n v="1995"/>
    <x v="177"/>
    <x v="119"/>
    <s v="en"/>
    <s v="Nominated for 1 Oscar. Another 25 wins &amp; 31 nominations."/>
    <x v="16"/>
    <n v="81"/>
    <n v="8.6"/>
    <n v="86"/>
    <n v="1895482"/>
    <n v="65"/>
    <n v="74"/>
    <n v="96"/>
    <n v="92"/>
    <n v="1066629"/>
    <n v="86"/>
    <n v="2259303"/>
    <n v="91"/>
    <s v="itunes, amzvid, hbm"/>
    <n v="82.33"/>
    <n v="-18"/>
    <n v="1990"/>
  </r>
  <r>
    <x v="323"/>
    <x v="323"/>
    <n v="2007"/>
    <x v="178"/>
    <x v="219"/>
    <s v="en"/>
    <s v="Won 3 Oscars. Another 25 wins &amp; 35 nominations."/>
    <x v="3"/>
    <n v="81"/>
    <n v="8"/>
    <n v="80"/>
    <n v="669722"/>
    <n v="85"/>
    <n v="81"/>
    <n v="163"/>
    <n v="86"/>
    <n v="1363138"/>
    <n v="74"/>
    <n v="243104"/>
    <n v="88"/>
    <s v="itunes, amzvid"/>
    <n v="82.33"/>
    <n v="-5"/>
    <n v="2000"/>
  </r>
  <r>
    <x v="324"/>
    <x v="324"/>
    <n v="2006"/>
    <x v="0"/>
    <x v="220"/>
    <s v="en"/>
    <s v="Nominated for 1 BAFTA Film Award. Another 14 wins &amp; 14 nominations."/>
    <x v="49"/>
    <n v="81"/>
    <n v="7.7"/>
    <n v="77"/>
    <n v="131520"/>
    <n v="86"/>
    <n v="79"/>
    <n v="71"/>
    <n v="86"/>
    <n v="68178"/>
    <n v="82"/>
    <n v="94846"/>
    <n v="84"/>
    <s v="amzvid"/>
    <n v="82.33"/>
    <n v="-7"/>
    <n v="2000"/>
  </r>
  <r>
    <x v="325"/>
    <x v="325"/>
    <n v="2013"/>
    <x v="2"/>
    <x v="221"/>
    <s v="en"/>
    <s v="38 wins &amp; 58 nominations."/>
    <x v="7"/>
    <n v="81"/>
    <n v="7.9"/>
    <n v="79"/>
    <n v="93484"/>
    <n v="82"/>
    <n v="84"/>
    <n v="123"/>
    <n v="88"/>
    <n v="58097"/>
    <n v="84"/>
    <n v="131005"/>
    <n v="77"/>
    <s v="prime, itunes, amzvid"/>
    <n v="82.33"/>
    <n v="-4"/>
    <n v="2010"/>
  </r>
  <r>
    <x v="326"/>
    <x v="326"/>
    <n v="2006"/>
    <x v="135"/>
    <x v="222"/>
    <s v="en"/>
    <s v="Won 1 BAFTA Film Award. Another 26 wins &amp; 34 nominations."/>
    <x v="98"/>
    <n v="82"/>
    <n v="8"/>
    <n v="80"/>
    <n v="714725"/>
    <n v="80"/>
    <n v="79"/>
    <n v="151"/>
    <n v="85"/>
    <n v="691353"/>
    <n v="80"/>
    <n v="663848"/>
    <n v="90"/>
    <s v="itunes, amzvid"/>
    <n v="82.33"/>
    <n v="-6"/>
    <n v="2000"/>
  </r>
  <r>
    <x v="327"/>
    <x v="327"/>
    <n v="2023"/>
    <x v="179"/>
    <x v="223"/>
    <s v="fr"/>
    <s v=""/>
    <x v="7"/>
    <n v="82"/>
    <n v="7.6"/>
    <n v="76"/>
    <n v="171286"/>
    <n v="86"/>
    <n v="85"/>
    <n v="170"/>
    <m/>
    <n v="397269"/>
    <n v="82"/>
    <n v="1188175"/>
    <n v="82"/>
    <s v="netflix"/>
    <n v="82.2"/>
    <n v="85"/>
    <n v="2020"/>
  </r>
  <r>
    <x v="328"/>
    <x v="328"/>
    <n v="2021"/>
    <x v="180"/>
    <x v="18"/>
    <s v="fr"/>
    <s v=""/>
    <x v="7"/>
    <n v="82"/>
    <n v="7.4"/>
    <n v="74"/>
    <n v="19348"/>
    <n v="93"/>
    <n v="89"/>
    <n v="128"/>
    <m/>
    <n v="42982"/>
    <n v="82"/>
    <n v="128593"/>
    <n v="73"/>
    <s v=""/>
    <n v="82.2"/>
    <n v="89"/>
    <n v="2020"/>
  </r>
  <r>
    <x v="329"/>
    <x v="329"/>
    <n v="2020"/>
    <x v="61"/>
    <x v="158"/>
    <s v="da"/>
    <s v=""/>
    <x v="7"/>
    <n v="81"/>
    <n v="7.7"/>
    <n v="77"/>
    <n v="211260"/>
    <n v="79"/>
    <n v="79"/>
    <n v="149"/>
    <n v="87"/>
    <n v="180599"/>
    <n v="82"/>
    <n v="538911"/>
    <n v="89"/>
    <s v=""/>
    <n v="82.17"/>
    <n v="-8"/>
    <n v="2020"/>
  </r>
  <r>
    <x v="330"/>
    <x v="330"/>
    <n v="2018"/>
    <x v="2"/>
    <x v="156"/>
    <s v="es"/>
    <s v=""/>
    <x v="7"/>
    <n v="84"/>
    <n v="7.7"/>
    <n v="77"/>
    <n v="173824"/>
    <n v="96"/>
    <n v="92"/>
    <n v="250"/>
    <n v="73"/>
    <n v="141177"/>
    <n v="82"/>
    <n v="411571"/>
    <n v="73"/>
    <s v="netflix"/>
    <n v="82.17"/>
    <n v="19"/>
    <n v="2010"/>
  </r>
  <r>
    <x v="331"/>
    <x v="331"/>
    <n v="1953"/>
    <x v="181"/>
    <x v="41"/>
    <s v="en"/>
    <s v="Won 3 Oscars. Another 7 wins &amp; 15 nominations."/>
    <x v="0"/>
    <n v="81"/>
    <n v="8"/>
    <n v="80"/>
    <n v="151851"/>
    <n v="78"/>
    <n v="83"/>
    <n v="58"/>
    <n v="89"/>
    <n v="108625"/>
    <n v="84"/>
    <n v="198567"/>
    <n v="79"/>
    <s v="itunes, amzvid"/>
    <n v="82.17"/>
    <n v="-6"/>
    <n v="1950"/>
  </r>
  <r>
    <x v="332"/>
    <x v="332"/>
    <n v="1999"/>
    <x v="182"/>
    <x v="224"/>
    <s v="en"/>
    <s v="Won 4 Oscars. Another 33 wins &amp; 40 nominations."/>
    <x v="11"/>
    <n v="82"/>
    <n v="8.6999999999999993"/>
    <n v="87"/>
    <n v="2141445"/>
    <n v="73"/>
    <n v="76"/>
    <n v="130"/>
    <n v="84"/>
    <n v="22870385"/>
    <n v="84"/>
    <n v="1962752"/>
    <n v="89"/>
    <s v="itunes, amzvid, hbm"/>
    <n v="82.17"/>
    <n v="-8"/>
    <n v="1990"/>
  </r>
  <r>
    <x v="333"/>
    <x v="333"/>
    <n v="2015"/>
    <x v="183"/>
    <x v="225"/>
    <s v="en"/>
    <s v=""/>
    <x v="50"/>
    <n v="82"/>
    <n v="7.5"/>
    <n v="75"/>
    <n v="154679"/>
    <n v="88"/>
    <n v="86"/>
    <n v="172"/>
    <n v="83"/>
    <n v="98812"/>
    <n v="76"/>
    <n v="202318"/>
    <n v="85"/>
    <s v="itunes, amzvid"/>
    <n v="82.17"/>
    <n v="3"/>
    <n v="2010"/>
  </r>
  <r>
    <x v="334"/>
    <x v="334"/>
    <n v="2006"/>
    <x v="184"/>
    <x v="106"/>
    <s v="en"/>
    <s v="Won 1 Oscar. Another 28 wins &amp; 23 nominations."/>
    <x v="11"/>
    <n v="82"/>
    <n v="7.8"/>
    <n v="78"/>
    <n v="173297"/>
    <n v="89"/>
    <n v="84"/>
    <n v="129"/>
    <n v="83"/>
    <n v="245983"/>
    <n v="78"/>
    <n v="55455"/>
    <n v="81"/>
    <s v="itunes, amzvid"/>
    <n v="82.17"/>
    <n v="1"/>
    <n v="2000"/>
  </r>
  <r>
    <x v="335"/>
    <x v="335"/>
    <n v="2004"/>
    <x v="185"/>
    <x v="156"/>
    <s v="en"/>
    <s v="Nominated for 2 Oscars. Another 13 wins &amp; 40 nominations."/>
    <x v="11"/>
    <n v="82"/>
    <n v="7.9"/>
    <n v="79"/>
    <n v="724666"/>
    <n v="82"/>
    <n v="79"/>
    <n v="156"/>
    <n v="84"/>
    <n v="1415939"/>
    <n v="82"/>
    <n v="1907407"/>
    <n v="87"/>
    <s v="peacock, hbo, itunes, hbm"/>
    <n v="82.17"/>
    <n v="-5"/>
    <n v="2000"/>
  </r>
  <r>
    <x v="336"/>
    <x v="336"/>
    <n v="2002"/>
    <x v="11"/>
    <x v="131"/>
    <s v="es"/>
    <s v=""/>
    <x v="7"/>
    <n v="81"/>
    <n v="7.9"/>
    <n v="79"/>
    <n v="119714"/>
    <n v="86"/>
    <n v="82"/>
    <n v="71"/>
    <n v="88"/>
    <n v="64196"/>
    <n v="78"/>
    <n v="86386"/>
    <n v="80"/>
    <s v="itunes"/>
    <n v="82.17"/>
    <n v="-6"/>
    <n v="2000"/>
  </r>
  <r>
    <x v="337"/>
    <x v="337"/>
    <n v="2004"/>
    <x v="186"/>
    <x v="226"/>
    <s v="en"/>
    <s v="11 wins &amp; 17 nominations."/>
    <x v="25"/>
    <n v="81"/>
    <n v="7.9"/>
    <n v="79"/>
    <n v="616400"/>
    <n v="76"/>
    <n v="78"/>
    <n v="147"/>
    <n v="88"/>
    <n v="640908"/>
    <n v="80"/>
    <n v="923980"/>
    <n v="92"/>
    <s v="itunes, amzvid"/>
    <n v="82.17"/>
    <n v="-10"/>
    <n v="2000"/>
  </r>
  <r>
    <x v="338"/>
    <x v="338"/>
    <n v="2019"/>
    <x v="2"/>
    <x v="131"/>
    <s v="es"/>
    <s v=""/>
    <x v="7"/>
    <n v="81"/>
    <n v="7.5"/>
    <n v="75"/>
    <n v="65351"/>
    <n v="87"/>
    <n v="84"/>
    <n v="183"/>
    <n v="86"/>
    <n v="50524"/>
    <n v="82"/>
    <n v="148033"/>
    <n v="79"/>
    <s v="starz, itunes, amzvid"/>
    <n v="82.17"/>
    <n v="-2"/>
    <n v="2010"/>
  </r>
  <r>
    <x v="339"/>
    <x v="339"/>
    <n v="1973"/>
    <x v="187"/>
    <x v="114"/>
    <s v="en"/>
    <s v="Won 2 Oscars. Another 14 wins &amp; 14 nominations."/>
    <x v="11"/>
    <n v="82"/>
    <n v="8.1"/>
    <n v="81"/>
    <n v="474628"/>
    <n v="83"/>
    <n v="85"/>
    <n v="124"/>
    <n v="84"/>
    <n v="529464"/>
    <n v="80"/>
    <n v="745296"/>
    <n v="79"/>
    <s v="itunes, amzvid, hbm"/>
    <n v="82"/>
    <n v="1"/>
    <n v="1970"/>
  </r>
  <r>
    <x v="340"/>
    <x v="340"/>
    <n v="2014"/>
    <x v="188"/>
    <x v="227"/>
    <s v="es"/>
    <s v="Nominated for 1 Oscar. Another 42 wins &amp; 44 nominations."/>
    <x v="15"/>
    <n v="81"/>
    <n v="8.1"/>
    <n v="81"/>
    <n v="226824"/>
    <n v="77"/>
    <n v="79"/>
    <n v="124"/>
    <n v="88"/>
    <n v="76384"/>
    <n v="82"/>
    <n v="199938"/>
    <n v="85"/>
    <s v="starz, amzvid"/>
    <n v="82"/>
    <n v="-9"/>
    <n v="2010"/>
  </r>
  <r>
    <x v="341"/>
    <x v="341"/>
    <n v="2013"/>
    <x v="189"/>
    <x v="156"/>
    <s v="en"/>
    <s v="Won 7 Oscars. Another 224 wins &amp; 135 nominations."/>
    <x v="11"/>
    <n v="82"/>
    <n v="7.7"/>
    <n v="77"/>
    <n v="879467"/>
    <n v="96"/>
    <n v="92"/>
    <n v="304"/>
    <n v="78"/>
    <n v="441081"/>
    <n v="70"/>
    <n v="715076"/>
    <n v="79"/>
    <s v="itunes, amzvid, hbm"/>
    <n v="82"/>
    <n v="14"/>
    <n v="2010"/>
  </r>
  <r>
    <x v="342"/>
    <x v="342"/>
    <n v="1932"/>
    <x v="190"/>
    <x v="228"/>
    <s v="en"/>
    <s v="1 win &amp; 1 nomination."/>
    <x v="13"/>
    <n v="82"/>
    <n v="7.8"/>
    <n v="78"/>
    <n v="52529"/>
    <n v="80"/>
    <n v="85"/>
    <n v="56"/>
    <n v="85"/>
    <n v="45243"/>
    <n v="78"/>
    <n v="86537"/>
    <n v="86"/>
    <s v="itunes, amzvid"/>
    <n v="82"/>
    <n v="0"/>
    <n v="1930"/>
  </r>
  <r>
    <x v="343"/>
    <x v="343"/>
    <n v="2009"/>
    <x v="18"/>
    <x v="8"/>
    <s v="ko"/>
    <s v="24 wins &amp; 29 nominations."/>
    <x v="75"/>
    <n v="81"/>
    <n v="7.7"/>
    <n v="77"/>
    <n v="75873"/>
    <n v="79"/>
    <n v="79"/>
    <n v="92"/>
    <n v="85"/>
    <n v="59945"/>
    <n v="84"/>
    <n v="147147"/>
    <n v="88"/>
    <s v="itunes, amzvid"/>
    <n v="82"/>
    <n v="-6"/>
    <n v="2000"/>
  </r>
  <r>
    <x v="344"/>
    <x v="344"/>
    <n v="2015"/>
    <x v="2"/>
    <x v="229"/>
    <s v="tr"/>
    <s v=""/>
    <x v="7"/>
    <n v="81"/>
    <n v="7.6"/>
    <n v="76"/>
    <n v="41838"/>
    <n v="83"/>
    <n v="82"/>
    <n v="115"/>
    <n v="85"/>
    <n v="38286"/>
    <n v="84"/>
    <n v="97313"/>
    <n v="82"/>
    <s v="amzvid, itunes"/>
    <n v="82"/>
    <n v="-3"/>
    <n v="2010"/>
  </r>
  <r>
    <x v="345"/>
    <x v="345"/>
    <n v="2022"/>
    <x v="76"/>
    <x v="230"/>
    <s v="en"/>
    <s v=""/>
    <x v="7"/>
    <n v="82"/>
    <n v="7.8"/>
    <n v="78"/>
    <n v="577409"/>
    <n v="81"/>
    <n v="85"/>
    <n v="246"/>
    <m/>
    <n v="1022591"/>
    <n v="86"/>
    <n v="3026289"/>
    <n v="80"/>
    <s v="paramount, hbo"/>
    <n v="82"/>
    <n v="85"/>
    <n v="2020"/>
  </r>
  <r>
    <x v="346"/>
    <x v="346"/>
    <n v="2023"/>
    <x v="191"/>
    <x v="231"/>
    <s v="en"/>
    <s v=""/>
    <x v="7"/>
    <n v="82"/>
    <n v="7.8"/>
    <n v="78"/>
    <n v="334198"/>
    <n v="88"/>
    <n v="86"/>
    <n v="223"/>
    <m/>
    <n v="673949"/>
    <n v="80"/>
    <n v="2009015"/>
    <n v="78"/>
    <s v="prime"/>
    <n v="82"/>
    <n v="86"/>
    <n v="2020"/>
  </r>
  <r>
    <x v="347"/>
    <x v="347"/>
    <n v="2018"/>
    <x v="192"/>
    <x v="232"/>
    <s v="pl"/>
    <s v=""/>
    <x v="7"/>
    <n v="82"/>
    <n v="7.5"/>
    <n v="75"/>
    <n v="63652"/>
    <n v="90"/>
    <n v="85"/>
    <n v="163"/>
    <n v="78"/>
    <n v="52289"/>
    <n v="80"/>
    <n v="152837"/>
    <n v="83"/>
    <s v="prime, itunes"/>
    <n v="81.83"/>
    <n v="7"/>
    <n v="2010"/>
  </r>
  <r>
    <x v="348"/>
    <x v="348"/>
    <n v="2012"/>
    <x v="89"/>
    <x v="151"/>
    <s v="en"/>
    <s v="Won 1 Oscar. Another 107 wins &amp; 128 nominations."/>
    <x v="1"/>
    <n v="82"/>
    <n v="7.4"/>
    <n v="74"/>
    <n v="329226"/>
    <n v="95"/>
    <n v="88"/>
    <n v="238"/>
    <n v="77"/>
    <n v="205063"/>
    <n v="74"/>
    <n v="219887"/>
    <n v="83"/>
    <s v="peacock, itunes, amzvid"/>
    <n v="81.83"/>
    <n v="11"/>
    <n v="2010"/>
  </r>
  <r>
    <x v="349"/>
    <x v="349"/>
    <n v="1993"/>
    <x v="193"/>
    <x v="3"/>
    <s v="en"/>
    <s v="Won 3 Oscars. Another 25 wins &amp; 16 nominations."/>
    <x v="99"/>
    <n v="81"/>
    <n v="8.1999999999999993"/>
    <n v="82"/>
    <n v="1111146"/>
    <n v="68"/>
    <n v="81"/>
    <n v="100"/>
    <n v="88"/>
    <n v="1217265"/>
    <n v="82"/>
    <n v="1503381"/>
    <n v="90"/>
    <s v="itunes, amzvid, hbm"/>
    <n v="81.83"/>
    <n v="-7"/>
    <n v="1990"/>
  </r>
  <r>
    <x v="350"/>
    <x v="350"/>
    <n v="2018"/>
    <x v="194"/>
    <x v="233"/>
    <s v="en"/>
    <s v=""/>
    <x v="7"/>
    <n v="81"/>
    <n v="7.7"/>
    <n v="77"/>
    <n v="392851"/>
    <n v="87"/>
    <n v="85"/>
    <n v="265"/>
    <n v="84"/>
    <n v="192557"/>
    <n v="80"/>
    <n v="542008"/>
    <n v="78"/>
    <s v="paramount, itunes, amzvid"/>
    <n v="81.83"/>
    <n v="1"/>
    <n v="2010"/>
  </r>
  <r>
    <x v="351"/>
    <x v="351"/>
    <n v="1973"/>
    <x v="61"/>
    <x v="31"/>
    <s v="en"/>
    <s v="Nominated for 5 Oscars. Another 7 wins &amp; 8 nominations."/>
    <x v="3"/>
    <n v="82"/>
    <n v="7.4"/>
    <n v="74"/>
    <n v="101611"/>
    <n v="97"/>
    <n v="88"/>
    <n v="51"/>
    <n v="80"/>
    <n v="81508"/>
    <n v="74"/>
    <n v="114804"/>
    <n v="78"/>
    <s v="itunes, amzvid"/>
    <n v="81.83"/>
    <n v="8"/>
    <n v="1970"/>
  </r>
  <r>
    <x v="352"/>
    <x v="352"/>
    <n v="2004"/>
    <x v="195"/>
    <x v="212"/>
    <s v="zh"/>
    <s v="Nominated for 1 Oscar. Another 25 wins &amp; 46 nominations."/>
    <x v="15"/>
    <n v="82"/>
    <n v="7.5"/>
    <n v="75"/>
    <n v="117784"/>
    <n v="89"/>
    <n v="80"/>
    <n v="115"/>
    <n v="79"/>
    <n v="161234"/>
    <n v="76"/>
    <n v="47680"/>
    <n v="92"/>
    <s v="itunes, amzvid"/>
    <n v="81.83"/>
    <n v="1"/>
    <n v="2000"/>
  </r>
  <r>
    <x v="353"/>
    <x v="353"/>
    <n v="2006"/>
    <x v="6"/>
    <x v="131"/>
    <s v="es"/>
    <s v="Nominated for 1 Oscar. Another 66 wins &amp; 68 nominations."/>
    <x v="15"/>
    <n v="81"/>
    <n v="7.6"/>
    <n v="76"/>
    <n v="109883"/>
    <n v="84"/>
    <n v="80"/>
    <n v="97"/>
    <n v="85"/>
    <n v="96864"/>
    <n v="82"/>
    <n v="146336"/>
    <n v="84"/>
    <s v="itunes, amzvid"/>
    <n v="81.83"/>
    <n v="-5"/>
    <n v="2000"/>
  </r>
  <r>
    <x v="354"/>
    <x v="354"/>
    <n v="2013"/>
    <x v="28"/>
    <x v="69"/>
    <s v="en"/>
    <s v="Nominated for 2 Oscars. Another 61 wins &amp; 123 nominations."/>
    <x v="100"/>
    <n v="83"/>
    <n v="7.4"/>
    <n v="74"/>
    <n v="167445"/>
    <n v="93"/>
    <n v="87"/>
    <n v="211"/>
    <n v="73"/>
    <n v="137057"/>
    <n v="80"/>
    <n v="320530"/>
    <n v="84"/>
    <s v="itunes, amzvid"/>
    <n v="81.83"/>
    <n v="14"/>
    <n v="2010"/>
  </r>
  <r>
    <x v="355"/>
    <x v="355"/>
    <n v="2020"/>
    <x v="28"/>
    <x v="234"/>
    <s v="en"/>
    <s v=""/>
    <x v="7"/>
    <n v="81"/>
    <n v="7.7"/>
    <n v="77"/>
    <n v="159056"/>
    <n v="82"/>
    <n v="82"/>
    <n v="172"/>
    <n v="87"/>
    <n v="222621"/>
    <n v="84"/>
    <n v="662768"/>
    <n v="79"/>
    <s v="prime"/>
    <n v="81.83"/>
    <n v="-5"/>
    <n v="2020"/>
  </r>
  <r>
    <x v="356"/>
    <x v="356"/>
    <n v="2013"/>
    <x v="32"/>
    <x v="235"/>
    <s v="en"/>
    <s v="Won 3 Oscars. Another 77 wins &amp; 71 nominations."/>
    <x v="25"/>
    <n v="81"/>
    <n v="7.9"/>
    <n v="79"/>
    <n v="533167"/>
    <n v="77"/>
    <n v="78"/>
    <n v="186"/>
    <n v="88"/>
    <n v="229781"/>
    <n v="80"/>
    <n v="502641"/>
    <n v="89"/>
    <s v="prime, itunes, amzvid"/>
    <n v="81.83"/>
    <n v="-10"/>
    <n v="2010"/>
  </r>
  <r>
    <x v="357"/>
    <x v="357"/>
    <n v="2015"/>
    <x v="196"/>
    <x v="34"/>
    <s v="en"/>
    <s v=""/>
    <x v="14"/>
    <n v="81"/>
    <n v="8"/>
    <n v="80"/>
    <n v="963094"/>
    <n v="80"/>
    <n v="79"/>
    <n v="270"/>
    <n v="87"/>
    <n v="508376"/>
    <n v="76"/>
    <n v="1260464"/>
    <n v="89"/>
    <s v="peacock, itunes, amzvid"/>
    <n v="81.83"/>
    <n v="-8"/>
    <n v="2010"/>
  </r>
  <r>
    <x v="358"/>
    <x v="358"/>
    <n v="1995"/>
    <x v="37"/>
    <x v="9"/>
    <s v="en"/>
    <s v="Nominated for 1 Oscar. Another 4 wins &amp; 8 nominations."/>
    <x v="3"/>
    <n v="80"/>
    <n v="8.1999999999999993"/>
    <n v="82"/>
    <n v="588163"/>
    <n v="73"/>
    <n v="72"/>
    <n v="51"/>
    <n v="89"/>
    <n v="358364"/>
    <n v="84"/>
    <n v="503194"/>
    <n v="91"/>
    <s v="paramount, netflix, itunes, amzvid"/>
    <n v="81.83"/>
    <n v="-17"/>
    <n v="1990"/>
  </r>
  <r>
    <x v="359"/>
    <x v="359"/>
    <n v="1960"/>
    <x v="197"/>
    <x v="236"/>
    <s v="en"/>
    <s v=""/>
    <x v="101"/>
    <n v="81"/>
    <n v="7.6"/>
    <n v="76"/>
    <n v="41700"/>
    <m/>
    <n v="88"/>
    <n v="51"/>
    <n v="82"/>
    <n v="36186"/>
    <n v="80"/>
    <n v="80602"/>
    <n v="83"/>
    <s v="itunes, amzvid"/>
    <n v="81.8"/>
    <n v="6"/>
    <n v="1960"/>
  </r>
  <r>
    <x v="360"/>
    <x v="360"/>
    <n v="2010"/>
    <x v="142"/>
    <x v="210"/>
    <s v="en"/>
    <s v="Won 1 Oscar. Another 104 wins &amp; 211 nominations."/>
    <x v="50"/>
    <n v="82"/>
    <n v="8"/>
    <n v="80"/>
    <n v="854775"/>
    <n v="79"/>
    <n v="81"/>
    <n v="266"/>
    <n v="82"/>
    <n v="812102"/>
    <n v="84"/>
    <n v="2078477"/>
    <n v="84"/>
    <s v="itunes, amzvid"/>
    <n v="81.67"/>
    <n v="-1"/>
    <n v="2010"/>
  </r>
  <r>
    <x v="361"/>
    <x v="361"/>
    <n v="1973"/>
    <x v="0"/>
    <x v="9"/>
    <s v="en"/>
    <s v="6 wins &amp; 5 nominations."/>
    <x v="9"/>
    <n v="82"/>
    <n v="7.2"/>
    <n v="72"/>
    <n v="123587"/>
    <n v="96"/>
    <n v="89"/>
    <n v="50"/>
    <n v="80"/>
    <n v="95545"/>
    <n v="74"/>
    <n v="176591"/>
    <n v="79"/>
    <s v="itunes, amzvid"/>
    <n v="81.67"/>
    <n v="9"/>
    <n v="1970"/>
  </r>
  <r>
    <x v="362"/>
    <x v="362"/>
    <n v="2018"/>
    <x v="198"/>
    <x v="99"/>
    <s v="en"/>
    <s v=""/>
    <x v="7"/>
    <n v="81"/>
    <n v="7.8"/>
    <n v="78"/>
    <n v="198804"/>
    <n v="82"/>
    <n v="81"/>
    <n v="224"/>
    <n v="85"/>
    <n v="275699"/>
    <n v="80"/>
    <n v="807747"/>
    <n v="84"/>
    <s v="disney, itunes, amzvid"/>
    <n v="81.67"/>
    <n v="-4"/>
    <n v="2010"/>
  </r>
  <r>
    <x v="363"/>
    <x v="363"/>
    <n v="1940"/>
    <x v="7"/>
    <x v="237"/>
    <s v="en"/>
    <s v="Won 2 Oscars. Another 2 wins."/>
    <x v="102"/>
    <n v="83"/>
    <n v="7.5"/>
    <n v="75"/>
    <n v="165547"/>
    <n v="99"/>
    <n v="93"/>
    <n v="56"/>
    <n v="72"/>
    <n v="285349"/>
    <n v="70"/>
    <n v="296159"/>
    <n v="81"/>
    <s v="disney, itunes, amzvid"/>
    <n v="81.67"/>
    <n v="21"/>
    <n v="1940"/>
  </r>
  <r>
    <x v="364"/>
    <x v="364"/>
    <n v="1982"/>
    <x v="199"/>
    <x v="3"/>
    <s v="en"/>
    <s v="Won 4 Oscars. Another 46 wins &amp; 32 nominations."/>
    <x v="3"/>
    <n v="84"/>
    <n v="7.9"/>
    <n v="79"/>
    <n v="451751"/>
    <n v="92"/>
    <n v="92"/>
    <n v="103"/>
    <n v="72"/>
    <n v="21844819"/>
    <n v="76"/>
    <n v="905759"/>
    <n v="79"/>
    <s v="itunes, amzvid"/>
    <n v="81.67"/>
    <n v="20"/>
    <n v="1980"/>
  </r>
  <r>
    <x v="365"/>
    <x v="365"/>
    <n v="2010"/>
    <x v="200"/>
    <x v="238"/>
    <s v="en"/>
    <s v="Nominated for 2 Oscars. Another 30 wins &amp; 51 nominations."/>
    <x v="103"/>
    <n v="81"/>
    <n v="8.1"/>
    <n v="81"/>
    <n v="837460"/>
    <n v="75"/>
    <n v="78"/>
    <n v="123"/>
    <n v="87"/>
    <n v="582145"/>
    <n v="82"/>
    <n v="1118520"/>
    <n v="87"/>
    <s v="itunes, amzvid"/>
    <n v="81.67"/>
    <n v="-9"/>
    <n v="2010"/>
  </r>
  <r>
    <x v="366"/>
    <x v="366"/>
    <n v="2009"/>
    <x v="126"/>
    <x v="5"/>
    <s v="en"/>
    <s v="Won 1 Oscar. Another 115 wins &amp; 136 nominations."/>
    <x v="56"/>
    <n v="81"/>
    <n v="8.4"/>
    <n v="84"/>
    <n v="1668156"/>
    <n v="69"/>
    <n v="77"/>
    <n v="217"/>
    <n v="86"/>
    <n v="1301365"/>
    <n v="86"/>
    <n v="2348648"/>
    <n v="88"/>
    <s v="itunes, amzvid"/>
    <n v="81.67"/>
    <n v="-9"/>
    <n v="2000"/>
  </r>
  <r>
    <x v="367"/>
    <x v="367"/>
    <n v="1954"/>
    <x v="201"/>
    <x v="239"/>
    <s v="ja"/>
    <s v="1 win."/>
    <x v="12"/>
    <n v="81"/>
    <n v="7.6"/>
    <n v="76"/>
    <n v="42778"/>
    <n v="79"/>
    <n v="78"/>
    <n v="64"/>
    <n v="85"/>
    <n v="48898"/>
    <n v="80"/>
    <n v="126402"/>
    <n v="92"/>
    <s v="amzvid, hbm"/>
    <n v="81.67"/>
    <n v="-7"/>
    <n v="1950"/>
  </r>
  <r>
    <x v="368"/>
    <x v="368"/>
    <n v="2007"/>
    <x v="202"/>
    <x v="226"/>
    <s v="en"/>
    <s v="3 wins &amp; 7 nominations."/>
    <x v="104"/>
    <n v="81"/>
    <n v="7.8"/>
    <n v="78"/>
    <n v="549902"/>
    <n v="81"/>
    <n v="78"/>
    <n v="144"/>
    <n v="85"/>
    <n v="623784"/>
    <n v="82"/>
    <n v="738270"/>
    <n v="86"/>
    <s v="prime, itunes, amzvid"/>
    <n v="81.67"/>
    <n v="-7"/>
    <n v="2000"/>
  </r>
  <r>
    <x v="369"/>
    <x v="369"/>
    <n v="1974"/>
    <x v="187"/>
    <x v="240"/>
    <s v="en"/>
    <s v="1 win &amp; 1 nomination."/>
    <x v="105"/>
    <n v="82"/>
    <n v="7.4"/>
    <n v="74"/>
    <n v="196563"/>
    <n v="91"/>
    <n v="84"/>
    <n v="96"/>
    <n v="79"/>
    <n v="349352"/>
    <n v="76"/>
    <n v="641273"/>
    <n v="86"/>
    <s v="peacock, prime, amzvid, itunes"/>
    <n v="81.67"/>
    <n v="5"/>
    <n v="1970"/>
  </r>
  <r>
    <x v="370"/>
    <x v="370"/>
    <n v="1978"/>
    <x v="187"/>
    <x v="118"/>
    <s v="en"/>
    <s v="2 wins &amp; 2 nominations."/>
    <x v="106"/>
    <n v="82"/>
    <n v="7.8"/>
    <n v="78"/>
    <n v="132343"/>
    <n v="71"/>
    <n v="83"/>
    <n v="60"/>
    <n v="86"/>
    <n v="188411"/>
    <n v="80"/>
    <n v="155030"/>
    <n v="92"/>
    <s v=""/>
    <n v="81.67"/>
    <n v="-3"/>
    <n v="1970"/>
  </r>
  <r>
    <x v="371"/>
    <x v="371"/>
    <n v="2022"/>
    <x v="203"/>
    <x v="241"/>
    <s v="en"/>
    <s v=""/>
    <x v="7"/>
    <n v="82"/>
    <n v="7.6"/>
    <n v="76"/>
    <n v="120092"/>
    <n v="79"/>
    <n v="82"/>
    <n v="169"/>
    <m/>
    <n v="192647"/>
    <n v="80"/>
    <n v="570228"/>
    <n v="91"/>
    <s v="netflix"/>
    <n v="81.599999999999994"/>
    <n v="82"/>
    <n v="2020"/>
  </r>
  <r>
    <x v="372"/>
    <x v="372"/>
    <n v="1960"/>
    <x v="0"/>
    <x v="242"/>
    <s v="fr"/>
    <s v="Nominated for 1 BAFTA Film Award. Another 4 wins &amp; 2 nominations."/>
    <x v="12"/>
    <n v="80"/>
    <n v="7.7"/>
    <n v="77"/>
    <n v="90735"/>
    <m/>
    <n v="87"/>
    <n v="65"/>
    <n v="86"/>
    <n v="98209"/>
    <n v="78"/>
    <n v="216481"/>
    <n v="80"/>
    <s v="itunes, amzvid, hbm"/>
    <n v="81.599999999999994"/>
    <n v="1"/>
    <n v="1960"/>
  </r>
  <r>
    <x v="373"/>
    <x v="373"/>
    <n v="2024"/>
    <x v="204"/>
    <x v="243"/>
    <s v="en"/>
    <s v=""/>
    <x v="7"/>
    <n v="82"/>
    <n v="7.6"/>
    <n v="76"/>
    <n v="11940"/>
    <n v="82"/>
    <n v="83"/>
    <n v="73"/>
    <m/>
    <n v="38829"/>
    <n v="82"/>
    <n v="116366"/>
    <n v="85"/>
    <s v="prime, mubi"/>
    <n v="81.599999999999994"/>
    <n v="83"/>
    <n v="2020"/>
  </r>
  <r>
    <x v="374"/>
    <x v="374"/>
    <n v="1980"/>
    <x v="2"/>
    <x v="217"/>
    <s v="en"/>
    <s v="Won 4 Oscars. Another 20 wins &amp; 9 nominations."/>
    <x v="0"/>
    <n v="81"/>
    <n v="7.7"/>
    <n v="77"/>
    <n v="58996"/>
    <n v="86"/>
    <n v="85"/>
    <n v="58"/>
    <n v="84"/>
    <n v="31908"/>
    <n v="80"/>
    <n v="49068"/>
    <n v="77"/>
    <s v="itunes, amzvid"/>
    <n v="81.5"/>
    <n v="1"/>
    <n v="1980"/>
  </r>
  <r>
    <x v="375"/>
    <x v="375"/>
    <n v="2011"/>
    <x v="2"/>
    <x v="206"/>
    <s v="no"/>
    <s v="11 wins &amp; 15 nominations."/>
    <x v="107"/>
    <n v="82"/>
    <n v="7.6"/>
    <n v="76"/>
    <n v="30999"/>
    <n v="84"/>
    <n v="83"/>
    <n v="61"/>
    <n v="80"/>
    <n v="31339"/>
    <n v="82"/>
    <n v="83204"/>
    <n v="84"/>
    <s v="mubi, itunes, amzvid"/>
    <n v="81.5"/>
    <n v="3"/>
    <n v="2010"/>
  </r>
  <r>
    <x v="376"/>
    <x v="376"/>
    <n v="2014"/>
    <x v="173"/>
    <x v="244"/>
    <s v="en"/>
    <s v="Nominated for 1 Golden Globe. Another 8 wins &amp; 15 nominations."/>
    <x v="100"/>
    <n v="80"/>
    <n v="7.8"/>
    <n v="78"/>
    <n v="63396"/>
    <n v="79"/>
    <n v="77"/>
    <n v="99"/>
    <n v="86"/>
    <n v="49080"/>
    <n v="82"/>
    <n v="114521"/>
    <n v="87"/>
    <s v="amzvid, itunes"/>
    <n v="81.5"/>
    <n v="-9"/>
    <n v="2010"/>
  </r>
  <r>
    <x v="377"/>
    <x v="377"/>
    <n v="1979"/>
    <x v="2"/>
    <x v="245"/>
    <s v="en"/>
    <s v="Won 5 Oscars. Another 38 wins &amp; 17 nominations."/>
    <x v="32"/>
    <n v="81"/>
    <n v="7.8"/>
    <n v="78"/>
    <n v="160104"/>
    <n v="77"/>
    <n v="81"/>
    <n v="60"/>
    <n v="85"/>
    <n v="76383"/>
    <n v="82"/>
    <n v="141869"/>
    <n v="86"/>
    <s v="itunes, amzvid"/>
    <n v="81.5"/>
    <n v="-4"/>
    <n v="1970"/>
  </r>
  <r>
    <x v="378"/>
    <x v="378"/>
    <n v="2016"/>
    <x v="66"/>
    <x v="90"/>
    <s v="en"/>
    <s v=""/>
    <x v="7"/>
    <n v="82"/>
    <n v="7.9"/>
    <n v="79"/>
    <n v="811528"/>
    <n v="81"/>
    <n v="83"/>
    <n v="329"/>
    <n v="80"/>
    <n v="659702"/>
    <n v="82"/>
    <n v="1808063"/>
    <n v="84"/>
    <s v="netflix, paramount, itunes, amzvid"/>
    <n v="81.5"/>
    <n v="3"/>
    <n v="2010"/>
  </r>
  <r>
    <x v="379"/>
    <x v="379"/>
    <n v="2013"/>
    <x v="71"/>
    <x v="246"/>
    <s v="en"/>
    <s v="Nominated for 1 BAFTA Film Award. Another 12 wins &amp; 29 nominations."/>
    <x v="75"/>
    <n v="80"/>
    <n v="8.1"/>
    <n v="81"/>
    <n v="74576"/>
    <n v="83"/>
    <n v="81"/>
    <n v="87"/>
    <n v="87"/>
    <n v="49227"/>
    <n v="80"/>
    <n v="90036"/>
    <n v="77"/>
    <s v="prime, itunes, amzvid"/>
    <n v="81.5"/>
    <n v="-6"/>
    <n v="2010"/>
  </r>
  <r>
    <x v="380"/>
    <x v="380"/>
    <n v="2015"/>
    <x v="205"/>
    <x v="247"/>
    <s v="en"/>
    <s v="5 nominations."/>
    <x v="108"/>
    <n v="81"/>
    <n v="7.8"/>
    <n v="78"/>
    <n v="56837"/>
    <n v="85"/>
    <n v="84"/>
    <n v="139"/>
    <n v="84"/>
    <n v="51318"/>
    <n v="80"/>
    <n v="109242"/>
    <n v="78"/>
    <s v="netflix, prime, itunes, amzvid, hbm"/>
    <n v="81.5"/>
    <n v="0"/>
    <n v="2010"/>
  </r>
  <r>
    <x v="381"/>
    <x v="381"/>
    <n v="1967"/>
    <x v="11"/>
    <x v="248"/>
    <s v="fr"/>
    <s v="Nominated for 1 BAFTA Film Award. Another 7 wins."/>
    <x v="109"/>
    <n v="81"/>
    <n v="7.6"/>
    <n v="76"/>
    <n v="51150"/>
    <m/>
    <n v="87"/>
    <n v="57"/>
    <n v="83"/>
    <n v="37251"/>
    <n v="80"/>
    <n v="103314"/>
    <m/>
    <s v="itunes, amzvid, hbm"/>
    <n v="81.5"/>
    <n v="4"/>
    <n v="1960"/>
  </r>
  <r>
    <x v="382"/>
    <x v="202"/>
    <n v="2022"/>
    <x v="206"/>
    <x v="249"/>
    <s v="de"/>
    <s v=""/>
    <x v="7"/>
    <n v="82"/>
    <n v="7.8"/>
    <n v="78"/>
    <n v="272269"/>
    <n v="76"/>
    <n v="81"/>
    <n v="114"/>
    <m/>
    <n v="266337"/>
    <n v="80"/>
    <n v="791518"/>
    <n v="92"/>
    <s v="netflix"/>
    <n v="81.400000000000006"/>
    <n v="81"/>
    <n v="2020"/>
  </r>
  <r>
    <x v="383"/>
    <x v="382"/>
    <n v="1963"/>
    <x v="101"/>
    <x v="4"/>
    <s v="en"/>
    <s v="Nominated for 1 Oscar. Another 2 wins &amp; 5 nominations."/>
    <x v="3"/>
    <n v="81"/>
    <n v="7.6"/>
    <n v="76"/>
    <n v="212072"/>
    <n v="90"/>
    <n v="85"/>
    <n v="67"/>
    <n v="81"/>
    <n v="226724"/>
    <n v="76"/>
    <n v="326153"/>
    <n v="80"/>
    <s v="itunes, amzvid"/>
    <n v="81.33"/>
    <n v="4"/>
    <n v="1960"/>
  </r>
  <r>
    <x v="384"/>
    <x v="383"/>
    <n v="2013"/>
    <x v="11"/>
    <x v="250"/>
    <s v="hi"/>
    <s v="Nominated for 1 BAFTA Film Award. Another 27 wins &amp; 35 nominations."/>
    <x v="15"/>
    <n v="81"/>
    <n v="7.8"/>
    <n v="78"/>
    <n v="63364"/>
    <n v="76"/>
    <n v="77"/>
    <n v="85"/>
    <n v="83"/>
    <n v="25991"/>
    <n v="80"/>
    <n v="46783"/>
    <n v="94"/>
    <s v="itunes, amzvid"/>
    <n v="81.33"/>
    <n v="-6"/>
    <n v="2010"/>
  </r>
  <r>
    <x v="385"/>
    <x v="384"/>
    <n v="1944"/>
    <x v="207"/>
    <x v="251"/>
    <s v="en"/>
    <s v="Nominated for 4 Oscars. Another 5 wins &amp; 1 nomination."/>
    <x v="13"/>
    <n v="81"/>
    <n v="7.5"/>
    <n v="75"/>
    <n v="29429"/>
    <n v="94"/>
    <n v="89"/>
    <n v="54"/>
    <n v="82"/>
    <n v="44260"/>
    <n v="76"/>
    <n v="58472"/>
    <n v="72"/>
    <s v="itunes, amzvid"/>
    <n v="81.33"/>
    <n v="7"/>
    <n v="1940"/>
  </r>
  <r>
    <x v="386"/>
    <x v="385"/>
    <n v="1992"/>
    <x v="32"/>
    <x v="44"/>
    <s v="en"/>
    <s v="Nominated for 2 Oscars. Another 17 wins &amp; 13 nominations."/>
    <x v="9"/>
    <n v="80"/>
    <n v="7.7"/>
    <n v="77"/>
    <n v="105909"/>
    <n v="73"/>
    <n v="77"/>
    <n v="50"/>
    <n v="87"/>
    <n v="82751"/>
    <n v="84"/>
    <n v="133925"/>
    <n v="90"/>
    <s v="itunes, amzvid, hbm"/>
    <n v="81.33"/>
    <n v="-10"/>
    <n v="1990"/>
  </r>
  <r>
    <x v="387"/>
    <x v="386"/>
    <n v="1944"/>
    <x v="208"/>
    <x v="252"/>
    <s v="en"/>
    <s v="Won 1 Oscar. Another 1 win &amp; 4 nominations."/>
    <x v="14"/>
    <n v="82"/>
    <n v="7.9"/>
    <n v="79"/>
    <n v="53523"/>
    <m/>
    <n v="89"/>
    <n v="51"/>
    <n v="86"/>
    <n v="28730"/>
    <n v="80"/>
    <n v="64424"/>
    <n v="72"/>
    <s v="amzvid, itunes"/>
    <n v="81.2"/>
    <n v="3"/>
    <n v="1940"/>
  </r>
  <r>
    <x v="388"/>
    <x v="387"/>
    <n v="2023"/>
    <x v="209"/>
    <x v="99"/>
    <s v="en"/>
    <s v=""/>
    <x v="7"/>
    <n v="81"/>
    <n v="7.4"/>
    <n v="74"/>
    <n v="79116"/>
    <n v="85"/>
    <n v="84"/>
    <n v="55"/>
    <m/>
    <n v="143750"/>
    <n v="76"/>
    <n v="429286"/>
    <n v="87"/>
    <s v="netflix"/>
    <n v="81.2"/>
    <n v="84"/>
    <n v="2020"/>
  </r>
  <r>
    <x v="389"/>
    <x v="388"/>
    <n v="2011"/>
    <x v="2"/>
    <x v="253"/>
    <s v="en"/>
    <s v="Nominated for 6 Oscars. Another 33 wins &amp; 64 nominations."/>
    <x v="10"/>
    <n v="81"/>
    <n v="7.6"/>
    <n v="76"/>
    <n v="483651"/>
    <n v="87"/>
    <n v="82"/>
    <n v="197"/>
    <n v="82"/>
    <n v="248313"/>
    <n v="78"/>
    <n v="559774"/>
    <n v="82"/>
    <s v="prime, itunes, amzvid"/>
    <n v="81.17"/>
    <n v="0"/>
    <n v="2010"/>
  </r>
  <r>
    <x v="390"/>
    <x v="389"/>
    <n v="1969"/>
    <x v="2"/>
    <x v="254"/>
    <s v="en"/>
    <s v="Won 3 Oscars. Another 27 wins &amp; 12 nominations."/>
    <x v="8"/>
    <n v="81"/>
    <n v="7.8"/>
    <n v="78"/>
    <n v="125825"/>
    <n v="79"/>
    <n v="84"/>
    <n v="73"/>
    <n v="84"/>
    <n v="76945"/>
    <n v="82"/>
    <n v="150475"/>
    <n v="80"/>
    <s v="prime, itunes, amzvid"/>
    <n v="81.17"/>
    <n v="0"/>
    <n v="1960"/>
  </r>
  <r>
    <x v="391"/>
    <x v="390"/>
    <n v="2014"/>
    <x v="117"/>
    <x v="119"/>
    <s v="en"/>
    <s v="Nominated for 1 Oscar. Another 69 wins &amp; 136 nominations."/>
    <x v="14"/>
    <n v="80"/>
    <n v="8.1"/>
    <n v="81"/>
    <n v="1114383"/>
    <n v="79"/>
    <n v="81"/>
    <n v="279"/>
    <n v="85"/>
    <n v="847569"/>
    <n v="82"/>
    <n v="2283255"/>
    <n v="79"/>
    <s v="itunes, amzvid"/>
    <n v="81.17"/>
    <n v="-4"/>
    <n v="2010"/>
  </r>
  <r>
    <x v="392"/>
    <x v="391"/>
    <n v="2013"/>
    <x v="210"/>
    <x v="219"/>
    <s v="en"/>
    <s v="Nominated for 6 Oscars. Another 21 wins &amp; 125 nominations."/>
    <x v="10"/>
    <n v="80"/>
    <n v="7.8"/>
    <n v="78"/>
    <n v="506195"/>
    <n v="82"/>
    <n v="83"/>
    <n v="211"/>
    <n v="85"/>
    <n v="205779"/>
    <n v="76"/>
    <n v="311200"/>
    <n v="83"/>
    <s v="itunes, amzvid"/>
    <n v="81.17"/>
    <n v="-2"/>
    <n v="2010"/>
  </r>
  <r>
    <x v="393"/>
    <x v="392"/>
    <n v="2015"/>
    <x v="95"/>
    <x v="90"/>
    <s v="en"/>
    <s v="1 win &amp; 1 nomination."/>
    <x v="110"/>
    <n v="81"/>
    <n v="7.7"/>
    <n v="77"/>
    <n v="504995"/>
    <n v="82"/>
    <n v="81"/>
    <n v="224"/>
    <n v="82"/>
    <n v="274632"/>
    <n v="80"/>
    <n v="686077"/>
    <n v="85"/>
    <s v="prime, itunes, amzvid"/>
    <n v="81.17"/>
    <n v="-1"/>
    <n v="2010"/>
  </r>
  <r>
    <x v="394"/>
    <x v="393"/>
    <n v="1989"/>
    <x v="7"/>
    <x v="140"/>
    <s v="en"/>
    <s v="Won 2 Oscars. Another 10 wins &amp; 7 nominations."/>
    <x v="6"/>
    <n v="80"/>
    <n v="7.6"/>
    <n v="76"/>
    <n v="300298"/>
    <n v="88"/>
    <n v="84"/>
    <n v="75"/>
    <n v="84"/>
    <n v="786845"/>
    <n v="74"/>
    <n v="558144"/>
    <n v="81"/>
    <s v="disney, amzvid, itunes"/>
    <n v="81.17"/>
    <n v="0"/>
    <n v="1980"/>
  </r>
  <r>
    <x v="395"/>
    <x v="394"/>
    <n v="2012"/>
    <x v="211"/>
    <x v="169"/>
    <s v="en"/>
    <s v="Won 2 Oscars. Another 69 wins &amp; 98 nominations."/>
    <x v="13"/>
    <n v="81"/>
    <n v="7.8"/>
    <n v="78"/>
    <n v="748282"/>
    <n v="81"/>
    <n v="82"/>
    <n v="258"/>
    <n v="82"/>
    <n v="492679"/>
    <n v="78"/>
    <n v="726952"/>
    <n v="86"/>
    <s v="itunes, amzvid"/>
    <n v="81.17"/>
    <n v="0"/>
    <n v="2010"/>
  </r>
  <r>
    <x v="396"/>
    <x v="395"/>
    <n v="2009"/>
    <x v="7"/>
    <x v="152"/>
    <s v="en"/>
    <s v="Nominated for 1 Oscar. Another 7 wins &amp; 39 nominations."/>
    <x v="25"/>
    <n v="82"/>
    <n v="7.8"/>
    <n v="78"/>
    <n v="281862"/>
    <n v="80"/>
    <n v="79"/>
    <n v="149"/>
    <n v="74"/>
    <n v="850948"/>
    <n v="84"/>
    <n v="1781182"/>
    <n v="92"/>
    <s v="prime, amzvid"/>
    <n v="81.17"/>
    <n v="5"/>
    <n v="2000"/>
  </r>
  <r>
    <x v="397"/>
    <x v="396"/>
    <n v="2017"/>
    <x v="173"/>
    <x v="120"/>
    <s v="en"/>
    <s v=""/>
    <x v="7"/>
    <n v="82"/>
    <n v="7.4"/>
    <n v="74"/>
    <n v="349719"/>
    <n v="93"/>
    <n v="89"/>
    <n v="259"/>
    <n v="77"/>
    <n v="802603"/>
    <n v="76"/>
    <n v="2359917"/>
    <n v="78"/>
    <s v="paramount, netflix, itunes, amzvid"/>
    <n v="81.17"/>
    <n v="12"/>
    <n v="2010"/>
  </r>
  <r>
    <x v="398"/>
    <x v="397"/>
    <n v="1973"/>
    <x v="187"/>
    <x v="255"/>
    <s v="en"/>
    <s v="1 win &amp; 6 nominations."/>
    <x v="111"/>
    <n v="81"/>
    <n v="7.5"/>
    <n v="75"/>
    <n v="98951"/>
    <n v="87"/>
    <n v="82"/>
    <n v="66"/>
    <n v="79"/>
    <n v="104949"/>
    <n v="80"/>
    <n v="227819"/>
    <n v="84"/>
    <s v="itunes, amzvid"/>
    <n v="81.17"/>
    <n v="3"/>
    <n v="1970"/>
  </r>
  <r>
    <x v="399"/>
    <x v="398"/>
    <n v="2014"/>
    <x v="212"/>
    <x v="256"/>
    <s v="en"/>
    <s v="13 wins &amp; 8 nominations."/>
    <x v="112"/>
    <n v="81"/>
    <n v="7.6"/>
    <n v="76"/>
    <n v="207384"/>
    <n v="76"/>
    <n v="78"/>
    <n v="140"/>
    <n v="83"/>
    <n v="191766"/>
    <n v="82"/>
    <n v="519424"/>
    <n v="92"/>
    <s v="itunes, amzvid"/>
    <n v="81.17"/>
    <n v="-5"/>
    <n v="2010"/>
  </r>
  <r>
    <x v="400"/>
    <x v="399"/>
    <n v="2018"/>
    <x v="213"/>
    <x v="257"/>
    <s v="ko"/>
    <s v=""/>
    <x v="7"/>
    <n v="81"/>
    <n v="7.4"/>
    <n v="74"/>
    <n v="81046"/>
    <n v="91"/>
    <n v="87"/>
    <n v="133"/>
    <n v="78"/>
    <n v="90786"/>
    <n v="80"/>
    <n v="268302"/>
    <n v="76"/>
    <s v="netflix, mubi, amzvid, itunes"/>
    <n v="81"/>
    <n v="9"/>
    <n v="2010"/>
  </r>
  <r>
    <x v="401"/>
    <x v="400"/>
    <n v="2002"/>
    <x v="115"/>
    <x v="138"/>
    <s v="en"/>
    <s v="Won 1 Oscar. Another 62 wins &amp; 71 nominations."/>
    <x v="1"/>
    <n v="81"/>
    <n v="7.7"/>
    <n v="77"/>
    <n v="208162"/>
    <n v="83"/>
    <n v="82"/>
    <n v="107"/>
    <n v="82"/>
    <n v="209812"/>
    <n v="82"/>
    <n v="251436"/>
    <n v="80"/>
    <s v="itunes, amzvid"/>
    <n v="81"/>
    <n v="0"/>
    <n v="2000"/>
  </r>
  <r>
    <x v="402"/>
    <x v="401"/>
    <n v="2013"/>
    <x v="214"/>
    <x v="9"/>
    <s v="en"/>
    <s v="Nominated for 5 Oscars. Another 47 wins &amp; 129 nominations."/>
    <x v="113"/>
    <n v="81"/>
    <n v="8.1999999999999993"/>
    <n v="82"/>
    <n v="1670167"/>
    <n v="75"/>
    <n v="77"/>
    <n v="201"/>
    <n v="82"/>
    <n v="1020621"/>
    <n v="80"/>
    <n v="2696608"/>
    <n v="90"/>
    <s v="paramount, starz, itunes, amzvid"/>
    <n v="81"/>
    <n v="-5"/>
    <n v="2010"/>
  </r>
  <r>
    <x v="403"/>
    <x v="402"/>
    <n v="2013"/>
    <x v="2"/>
    <x v="258"/>
    <s v="it"/>
    <s v="Won 1 Oscar. Another 61 wins &amp; 60 nominations."/>
    <x v="28"/>
    <n v="81"/>
    <n v="7.7"/>
    <n v="77"/>
    <n v="101827"/>
    <n v="86"/>
    <n v="82"/>
    <n v="107"/>
    <n v="78"/>
    <n v="50986"/>
    <n v="82"/>
    <n v="121640"/>
    <n v="81"/>
    <s v="itunes, amzvid, hbm"/>
    <n v="81"/>
    <n v="4"/>
    <n v="2010"/>
  </r>
  <r>
    <x v="404"/>
    <x v="403"/>
    <n v="2003"/>
    <x v="61"/>
    <x v="259"/>
    <s v="en"/>
    <s v="Nominated for 1 Oscar. Another 33 wins &amp; 39 nominations."/>
    <x v="114"/>
    <n v="80"/>
    <n v="7.4"/>
    <n v="74"/>
    <n v="53472"/>
    <n v="90"/>
    <n v="85"/>
    <n v="92"/>
    <n v="82"/>
    <n v="40687"/>
    <n v="76"/>
    <n v="32821"/>
    <n v="79"/>
    <s v="itunes, amzvid, hbm"/>
    <n v="81"/>
    <n v="3"/>
    <n v="2000"/>
  </r>
  <r>
    <x v="405"/>
    <x v="404"/>
    <n v="2002"/>
    <x v="0"/>
    <x v="3"/>
    <s v="en"/>
    <s v="Nominated for 2 Oscars. Another 13 wins &amp; 27 nominations."/>
    <x v="62"/>
    <n v="80"/>
    <n v="8.1"/>
    <n v="81"/>
    <n v="1154771"/>
    <n v="75"/>
    <n v="78"/>
    <n v="121"/>
    <n v="86"/>
    <n v="1008107"/>
    <n v="80"/>
    <n v="1523405"/>
    <n v="86"/>
    <s v="netflix, paramount, itunes, amzvid"/>
    <n v="81"/>
    <n v="-8"/>
    <n v="2000"/>
  </r>
  <r>
    <x v="406"/>
    <x v="405"/>
    <n v="2022"/>
    <x v="89"/>
    <x v="260"/>
    <s v="gl"/>
    <s v=""/>
    <x v="7"/>
    <n v="81"/>
    <n v="7.5"/>
    <n v="75"/>
    <n v="22764"/>
    <n v="85"/>
    <n v="85"/>
    <n v="52"/>
    <m/>
    <n v="25478"/>
    <n v="82"/>
    <n v="76211"/>
    <n v="78"/>
    <s v="mubi"/>
    <n v="81"/>
    <n v="85"/>
    <n v="2020"/>
  </r>
  <r>
    <x v="407"/>
    <x v="406"/>
    <n v="2022"/>
    <x v="215"/>
    <x v="261"/>
    <s v="es"/>
    <s v=""/>
    <x v="7"/>
    <n v="81"/>
    <n v="7.6"/>
    <n v="76"/>
    <n v="33863"/>
    <n v="78"/>
    <n v="80"/>
    <n v="51"/>
    <m/>
    <n v="46479"/>
    <n v="80"/>
    <n v="138509"/>
    <n v="91"/>
    <s v="prime"/>
    <n v="81"/>
    <n v="80"/>
    <n v="2020"/>
  </r>
  <r>
    <x v="408"/>
    <x v="407"/>
    <n v="2018"/>
    <x v="216"/>
    <x v="44"/>
    <s v="en"/>
    <s v=""/>
    <x v="7"/>
    <n v="81"/>
    <n v="7.5"/>
    <n v="75"/>
    <n v="300877"/>
    <n v="83"/>
    <n v="83"/>
    <n v="271"/>
    <n v="81"/>
    <n v="312654"/>
    <n v="78"/>
    <n v="913658"/>
    <n v="86"/>
    <s v="netflix, peacock, itunes, amzvid"/>
    <n v="81"/>
    <n v="2"/>
    <n v="2010"/>
  </r>
  <r>
    <x v="409"/>
    <x v="408"/>
    <n v="1976"/>
    <x v="217"/>
    <x v="143"/>
    <s v="en"/>
    <s v="1 nomination."/>
    <x v="115"/>
    <n v="81"/>
    <n v="7.3"/>
    <n v="73"/>
    <n v="58164"/>
    <n v="89"/>
    <n v="81"/>
    <n v="57"/>
    <n v="78"/>
    <n v="45230"/>
    <n v="76"/>
    <n v="86112"/>
    <n v="88"/>
    <s v="prime, itunes, amzvid"/>
    <n v="80.83"/>
    <n v="3"/>
    <n v="1970"/>
  </r>
  <r>
    <x v="410"/>
    <x v="409"/>
    <n v="1977"/>
    <x v="187"/>
    <x v="113"/>
    <s v="en"/>
    <s v="2 wins &amp; 1 nomination."/>
    <x v="116"/>
    <n v="81"/>
    <n v="7.3"/>
    <n v="73"/>
    <n v="135915"/>
    <n v="87"/>
    <n v="85"/>
    <n v="70"/>
    <n v="80"/>
    <n v="171798"/>
    <n v="76"/>
    <n v="399798"/>
    <n v="84"/>
    <s v="itunes, amzvid, hbm"/>
    <n v="80.83"/>
    <n v="5"/>
    <n v="1970"/>
  </r>
  <r>
    <x v="411"/>
    <x v="410"/>
    <n v="2017"/>
    <x v="218"/>
    <x v="226"/>
    <s v="en"/>
    <s v=""/>
    <x v="7"/>
    <n v="80"/>
    <n v="7.5"/>
    <n v="75"/>
    <n v="646064"/>
    <n v="86"/>
    <n v="82"/>
    <n v="259"/>
    <n v="83"/>
    <n v="782217"/>
    <n v="74"/>
    <n v="2216927"/>
    <n v="85"/>
    <s v="itunes, amzvid"/>
    <n v="80.83"/>
    <n v="-1"/>
    <n v="2010"/>
  </r>
  <r>
    <x v="412"/>
    <x v="411"/>
    <n v="2009"/>
    <x v="7"/>
    <x v="262"/>
    <s v="en"/>
    <s v="Nominated for 1 Oscar. Another 7 wins &amp; 5 nominations."/>
    <x v="54"/>
    <n v="80"/>
    <n v="7.5"/>
    <n v="75"/>
    <n v="39450"/>
    <n v="81"/>
    <n v="77"/>
    <n v="59"/>
    <n v="82"/>
    <n v="25130"/>
    <n v="76"/>
    <n v="52128"/>
    <n v="94"/>
    <s v="itunes, amzvid"/>
    <n v="80.83"/>
    <n v="-5"/>
    <n v="2000"/>
  </r>
  <r>
    <x v="413"/>
    <x v="412"/>
    <n v="1961"/>
    <x v="91"/>
    <x v="263"/>
    <s v="en"/>
    <s v="Won 10 Oscars. Another 18 wins &amp; 11 nominations."/>
    <x v="38"/>
    <n v="81"/>
    <n v="7.6"/>
    <n v="76"/>
    <n v="124268"/>
    <n v="86"/>
    <n v="85"/>
    <n v="76"/>
    <n v="81"/>
    <n v="181504"/>
    <n v="76"/>
    <n v="205886"/>
    <n v="81"/>
    <s v="itunes, amzvid, hbm"/>
    <n v="80.83"/>
    <n v="4"/>
    <n v="1960"/>
  </r>
  <r>
    <x v="414"/>
    <x v="413"/>
    <n v="1973"/>
    <x v="219"/>
    <x v="264"/>
    <s v="en"/>
    <s v="Won 1 BAFTA Film Award. Another 8 nominations."/>
    <x v="0"/>
    <n v="82"/>
    <n v="7.1"/>
    <n v="71"/>
    <n v="65824"/>
    <n v="95"/>
    <n v="91"/>
    <n v="72"/>
    <n v="74"/>
    <n v="48307"/>
    <n v="76"/>
    <n v="107001"/>
    <n v="78"/>
    <s v="itunes, amzvid"/>
    <n v="80.83"/>
    <n v="17"/>
    <n v="1970"/>
  </r>
  <r>
    <x v="415"/>
    <x v="414"/>
    <n v="2011"/>
    <x v="0"/>
    <x v="182"/>
    <s v="tr"/>
    <s v="22 wins &amp; 24 nominations."/>
    <x v="117"/>
    <n v="82"/>
    <n v="7.8"/>
    <n v="78"/>
    <n v="51984"/>
    <n v="82"/>
    <n v="82"/>
    <n v="69"/>
    <n v="74"/>
    <n v="20522"/>
    <n v="84"/>
    <n v="49211"/>
    <n v="85"/>
    <s v="itunes"/>
    <n v="80.83"/>
    <n v="8"/>
    <n v="2010"/>
  </r>
  <r>
    <x v="416"/>
    <x v="415"/>
    <n v="2023"/>
    <x v="85"/>
    <x v="265"/>
    <s v="fr"/>
    <s v=""/>
    <x v="7"/>
    <n v="81"/>
    <n v="7.4"/>
    <n v="74"/>
    <n v="17334"/>
    <n v="85"/>
    <n v="85"/>
    <n v="106"/>
    <m/>
    <n v="25805"/>
    <n v="80"/>
    <n v="76768"/>
    <n v="80"/>
    <s v=""/>
    <n v="80.8"/>
    <n v="85"/>
    <n v="2020"/>
  </r>
  <r>
    <x v="417"/>
    <x v="416"/>
    <n v="2021"/>
    <x v="32"/>
    <x v="266"/>
    <s v="en"/>
    <s v=""/>
    <x v="7"/>
    <n v="81"/>
    <n v="7.4"/>
    <n v="74"/>
    <n v="94545"/>
    <n v="84"/>
    <n v="83"/>
    <n v="201"/>
    <m/>
    <n v="101742"/>
    <n v="80"/>
    <n v="299328"/>
    <n v="83"/>
    <s v=""/>
    <n v="80.8"/>
    <n v="83"/>
    <n v="2020"/>
  </r>
  <r>
    <x v="418"/>
    <x v="417"/>
    <n v="2023"/>
    <x v="32"/>
    <x v="267"/>
    <s v="es"/>
    <s v=""/>
    <x v="7"/>
    <n v="81"/>
    <n v="7.8"/>
    <n v="78"/>
    <n v="159519"/>
    <n v="72"/>
    <n v="77"/>
    <n v="94"/>
    <m/>
    <n v="303260"/>
    <n v="82"/>
    <n v="905866"/>
    <n v="95"/>
    <s v="netflix"/>
    <n v="80.8"/>
    <n v="77"/>
    <n v="2020"/>
  </r>
  <r>
    <x v="419"/>
    <x v="418"/>
    <n v="2022"/>
    <x v="71"/>
    <x v="268"/>
    <s v="en"/>
    <s v=""/>
    <x v="7"/>
    <n v="81"/>
    <n v="7.6"/>
    <n v="76"/>
    <n v="15708"/>
    <n v="84"/>
    <n v="83"/>
    <n v="93"/>
    <m/>
    <n v="35029"/>
    <n v="82"/>
    <n v="104389"/>
    <n v="79"/>
    <s v="disney, hulu"/>
    <n v="80.8"/>
    <n v="83"/>
    <n v="2020"/>
  </r>
  <r>
    <x v="420"/>
    <x v="419"/>
    <n v="2022"/>
    <x v="220"/>
    <x v="84"/>
    <s v="ko"/>
    <s v=""/>
    <x v="7"/>
    <n v="81"/>
    <n v="7.3"/>
    <n v="73"/>
    <n v="61599"/>
    <n v="85"/>
    <n v="84"/>
    <n v="146"/>
    <m/>
    <n v="106462"/>
    <n v="80"/>
    <n v="317920"/>
    <n v="82"/>
    <s v="mubi"/>
    <n v="80.8"/>
    <n v="84"/>
    <n v="2020"/>
  </r>
  <r>
    <x v="421"/>
    <x v="420"/>
    <n v="2015"/>
    <x v="24"/>
    <x v="269"/>
    <s v="en"/>
    <s v="2 wins &amp; 2 nominations."/>
    <x v="118"/>
    <n v="80"/>
    <n v="7.7"/>
    <n v="77"/>
    <n v="614501"/>
    <n v="78"/>
    <n v="81"/>
    <n v="201"/>
    <n v="83"/>
    <n v="401977"/>
    <n v="80"/>
    <n v="1057393"/>
    <n v="85"/>
    <s v="netflix, itunes, amzvid, hbm"/>
    <n v="80.67"/>
    <n v="-2"/>
    <n v="2010"/>
  </r>
  <r>
    <x v="422"/>
    <x v="421"/>
    <n v="1981"/>
    <x v="221"/>
    <x v="270"/>
    <s v="en"/>
    <s v="1 win &amp; 1 nomination."/>
    <x v="119"/>
    <n v="80"/>
    <n v="7.4"/>
    <n v="74"/>
    <n v="68965"/>
    <n v="86"/>
    <n v="81"/>
    <n v="52"/>
    <n v="80"/>
    <n v="72170"/>
    <n v="82"/>
    <n v="192708"/>
    <n v="81"/>
    <s v="amzvid, hbm"/>
    <n v="80.67"/>
    <n v="1"/>
    <n v="1980"/>
  </r>
  <r>
    <x v="423"/>
    <x v="422"/>
    <n v="1976"/>
    <x v="101"/>
    <x v="270"/>
    <s v="en"/>
    <s v="Nominated for 2 Oscars. Another 4 wins &amp; 4 nominations."/>
    <x v="8"/>
    <n v="81"/>
    <n v="7.4"/>
    <n v="74"/>
    <n v="216883"/>
    <n v="86"/>
    <n v="84"/>
    <n v="72"/>
    <n v="76"/>
    <n v="440494"/>
    <n v="78"/>
    <n v="614228"/>
    <n v="86"/>
    <s v="itunes, amzvid"/>
    <n v="80.67"/>
    <n v="8"/>
    <n v="1970"/>
  </r>
  <r>
    <x v="424"/>
    <x v="423"/>
    <n v="2011"/>
    <x v="47"/>
    <x v="271"/>
    <s v="en"/>
    <s v="Nominated for 1 Oscar. Another 87 wins &amp; 133 nominations."/>
    <x v="120"/>
    <n v="81"/>
    <n v="7.8"/>
    <n v="78"/>
    <n v="732276"/>
    <n v="79"/>
    <n v="82"/>
    <n v="258"/>
    <n v="78"/>
    <n v="557384"/>
    <n v="78"/>
    <n v="1431744"/>
    <n v="89"/>
    <s v="itunes, amzvid"/>
    <n v="80.67"/>
    <n v="4"/>
    <n v="2010"/>
  </r>
  <r>
    <x v="425"/>
    <x v="424"/>
    <n v="2018"/>
    <x v="76"/>
    <x v="149"/>
    <s v="en"/>
    <s v=""/>
    <x v="7"/>
    <n v="81"/>
    <n v="7.3"/>
    <n v="73"/>
    <n v="868835"/>
    <n v="88"/>
    <n v="84"/>
    <n v="302"/>
    <n v="77"/>
    <n v="754859"/>
    <n v="74"/>
    <n v="2088155"/>
    <n v="88"/>
    <s v="disney, itunes, amzvid"/>
    <n v="80.67"/>
    <n v="7"/>
    <n v="2010"/>
  </r>
  <r>
    <x v="426"/>
    <x v="425"/>
    <n v="1994"/>
    <x v="222"/>
    <x v="21"/>
    <s v="en"/>
    <s v="Nominated for 1 Oscar. Another 16 wins &amp; 8 nominations."/>
    <x v="4"/>
    <n v="81"/>
    <n v="7.2"/>
    <n v="72"/>
    <n v="68993"/>
    <n v="86"/>
    <n v="83"/>
    <n v="61"/>
    <n v="79"/>
    <n v="45694"/>
    <n v="76"/>
    <n v="56678"/>
    <n v="88"/>
    <s v=""/>
    <n v="80.67"/>
    <n v="4"/>
    <n v="1990"/>
  </r>
  <r>
    <x v="427"/>
    <x v="426"/>
    <n v="2017"/>
    <x v="130"/>
    <x v="90"/>
    <s v="en"/>
    <s v=""/>
    <x v="7"/>
    <n v="81"/>
    <n v="8"/>
    <n v="80"/>
    <n v="708433"/>
    <n v="81"/>
    <n v="83"/>
    <n v="293"/>
    <n v="79"/>
    <n v="560448"/>
    <n v="82"/>
    <n v="1608736"/>
    <n v="79"/>
    <s v="hulu, itunes, amzvid, hbm"/>
    <n v="80.67"/>
    <n v="4"/>
    <n v="2010"/>
  </r>
  <r>
    <x v="428"/>
    <x v="427"/>
    <n v="2023"/>
    <x v="61"/>
    <x v="272"/>
    <s v="en"/>
    <s v=""/>
    <x v="7"/>
    <n v="81"/>
    <n v="7.5"/>
    <n v="75"/>
    <n v="109395"/>
    <n v="81"/>
    <n v="82"/>
    <n v="157"/>
    <m/>
    <n v="166174"/>
    <n v="74"/>
    <n v="492612"/>
    <n v="91"/>
    <s v="prime"/>
    <n v="80.599999999999994"/>
    <n v="82"/>
    <n v="2020"/>
  </r>
  <r>
    <x v="429"/>
    <x v="428"/>
    <n v="2022"/>
    <x v="223"/>
    <x v="75"/>
    <s v="ja"/>
    <s v=""/>
    <x v="7"/>
    <n v="81"/>
    <n v="7.6"/>
    <n v="76"/>
    <n v="52822"/>
    <n v="77"/>
    <n v="79"/>
    <n v="82"/>
    <m/>
    <n v="98174"/>
    <n v="76"/>
    <n v="289215"/>
    <n v="95"/>
    <s v="netflix"/>
    <n v="80.599999999999994"/>
    <n v="79"/>
    <n v="2020"/>
  </r>
  <r>
    <x v="430"/>
    <x v="429"/>
    <n v="2004"/>
    <x v="6"/>
    <x v="148"/>
    <s v="en"/>
    <s v="Won 1 Oscar. Another 117 wins &amp; 68 nominations."/>
    <x v="65"/>
    <n v="81"/>
    <n v="7.5"/>
    <n v="75"/>
    <n v="210213"/>
    <n v="94"/>
    <n v="88"/>
    <n v="131"/>
    <n v="77"/>
    <n v="179804"/>
    <n v="76"/>
    <n v="143413"/>
    <n v="73"/>
    <s v="disney, itunes, amzvid, hbm"/>
    <n v="80.5"/>
    <n v="11"/>
    <n v="2000"/>
  </r>
  <r>
    <x v="431"/>
    <x v="430"/>
    <n v="2004"/>
    <x v="76"/>
    <x v="273"/>
    <s v="en"/>
    <s v="Won 1 Oscar. Another 19 wins &amp; 44 nominations."/>
    <x v="10"/>
    <n v="81"/>
    <n v="7.5"/>
    <n v="75"/>
    <n v="741202"/>
    <n v="83"/>
    <n v="83"/>
    <n v="177"/>
    <n v="79"/>
    <n v="1259923"/>
    <n v="78"/>
    <n v="1475998"/>
    <n v="85"/>
    <s v="disney, itunes, amzvid"/>
    <n v="80.5"/>
    <n v="4"/>
    <n v="2000"/>
  </r>
  <r>
    <x v="432"/>
    <x v="431"/>
    <n v="2018"/>
    <x v="224"/>
    <x v="274"/>
    <s v="en"/>
    <s v=""/>
    <x v="7"/>
    <n v="81"/>
    <n v="7.6"/>
    <n v="76"/>
    <n v="434467"/>
    <n v="88"/>
    <n v="83"/>
    <n v="310"/>
    <n v="78"/>
    <n v="302610"/>
    <n v="72"/>
    <n v="864619"/>
    <n v="86"/>
    <s v="itunes, amzvid"/>
    <n v="80.5"/>
    <n v="5"/>
    <n v="2010"/>
  </r>
  <r>
    <x v="433"/>
    <x v="432"/>
    <n v="2009"/>
    <x v="208"/>
    <x v="112"/>
    <s v="de"/>
    <s v="Nominated for 2 Oscars. Another 61 wins &amp; 26 nominations."/>
    <x v="15"/>
    <n v="81"/>
    <n v="7.8"/>
    <n v="78"/>
    <n v="79534"/>
    <n v="84"/>
    <n v="79"/>
    <n v="105"/>
    <n v="78"/>
    <n v="83194"/>
    <n v="84"/>
    <n v="69426"/>
    <n v="80"/>
    <s v="itunes, amzvid"/>
    <n v="80.5"/>
    <n v="1"/>
    <n v="2000"/>
  </r>
  <r>
    <x v="434"/>
    <x v="433"/>
    <n v="2022"/>
    <x v="1"/>
    <x v="275"/>
    <s v="en"/>
    <s v=""/>
    <x v="7"/>
    <n v="81"/>
    <n v="8.1999999999999993"/>
    <n v="82"/>
    <n v="768986"/>
    <n v="78"/>
    <n v="81"/>
    <n v="279"/>
    <m/>
    <n v="587898"/>
    <n v="80"/>
    <n v="1581141"/>
    <n v="81"/>
    <s v="prime, paramount"/>
    <n v="80.400000000000006"/>
    <n v="81"/>
    <n v="2020"/>
  </r>
  <r>
    <x v="435"/>
    <x v="434"/>
    <n v="1986"/>
    <x v="34"/>
    <x v="276"/>
    <s v="en"/>
    <s v="Won 1 Oscar. Another 7 wins &amp; 9 nominations."/>
    <x v="121"/>
    <n v="81"/>
    <n v="7.6"/>
    <n v="76"/>
    <n v="213160"/>
    <n v="81"/>
    <n v="83"/>
    <n v="71"/>
    <n v="80"/>
    <n v="192023"/>
    <n v="80"/>
    <n v="395137"/>
    <n v="82"/>
    <s v="itunes, amzvid, hbm"/>
    <n v="80.33"/>
    <n v="3"/>
    <n v="1980"/>
  </r>
  <r>
    <x v="436"/>
    <x v="435"/>
    <n v="2014"/>
    <x v="173"/>
    <x v="177"/>
    <s v="en"/>
    <s v="Won 4 Oscars. Another 206 wins &amp; 183 nominations."/>
    <x v="50"/>
    <n v="81"/>
    <n v="7.7"/>
    <n v="77"/>
    <n v="680540"/>
    <n v="87"/>
    <n v="86"/>
    <n v="256"/>
    <n v="76"/>
    <n v="378073"/>
    <n v="80"/>
    <n v="946005"/>
    <n v="76"/>
    <s v="itunes, amzvid"/>
    <n v="80.33"/>
    <n v="10"/>
    <n v="2010"/>
  </r>
  <r>
    <x v="437"/>
    <x v="436"/>
    <n v="2013"/>
    <x v="2"/>
    <x v="232"/>
    <s v="pl"/>
    <s v="Won 1 Oscar. Another 71 wins &amp; 64 nominations."/>
    <x v="122"/>
    <n v="80"/>
    <n v="7.4"/>
    <n v="74"/>
    <n v="61864"/>
    <n v="91"/>
    <n v="86"/>
    <n v="129"/>
    <n v="77"/>
    <n v="39105"/>
    <n v="80"/>
    <n v="81214"/>
    <n v="73"/>
    <s v="prime, mubi, itunes"/>
    <n v="80.17"/>
    <n v="9"/>
    <n v="2010"/>
  </r>
  <r>
    <x v="438"/>
    <x v="437"/>
    <n v="2012"/>
    <x v="61"/>
    <x v="105"/>
    <s v="en"/>
    <s v="Nominated for 1 Golden Globe. Another 9 wins &amp; 32 nominations."/>
    <x v="45"/>
    <n v="81"/>
    <n v="7.4"/>
    <n v="74"/>
    <n v="98119"/>
    <n v="82"/>
    <n v="79"/>
    <n v="142"/>
    <n v="76"/>
    <n v="183802"/>
    <n v="80"/>
    <n v="510614"/>
    <n v="90"/>
    <s v="netflix, itunes, amzvid"/>
    <n v="80.17"/>
    <n v="3"/>
    <n v="2010"/>
  </r>
  <r>
    <x v="439"/>
    <x v="438"/>
    <n v="2017"/>
    <x v="225"/>
    <x v="277"/>
    <s v="en"/>
    <s v=""/>
    <x v="7"/>
    <n v="80"/>
    <n v="7.3"/>
    <n v="73"/>
    <n v="119568"/>
    <n v="88"/>
    <n v="82"/>
    <n v="154"/>
    <n v="76"/>
    <n v="79907"/>
    <n v="76"/>
    <n v="225921"/>
    <n v="85"/>
    <s v="mubi, hulu, itunes, amzvid"/>
    <n v="80"/>
    <n v="6"/>
    <n v="2010"/>
  </r>
  <r>
    <x v="440"/>
    <x v="439"/>
    <n v="2015"/>
    <x v="226"/>
    <x v="278"/>
    <s v="hu"/>
    <s v="5 wins &amp; 8 nominations."/>
    <x v="15"/>
    <n v="80"/>
    <n v="7.4"/>
    <n v="74"/>
    <n v="53176"/>
    <n v="91"/>
    <n v="90"/>
    <n v="157"/>
    <n v="77"/>
    <n v="26403"/>
    <n v="82"/>
    <n v="53092"/>
    <n v="66"/>
    <s v="itunes, amzvid"/>
    <n v="80"/>
    <n v="13"/>
    <n v="2010"/>
  </r>
  <r>
    <x v="441"/>
    <x v="440"/>
    <n v="1931"/>
    <x v="47"/>
    <x v="23"/>
    <s v="de"/>
    <s v="2 wins."/>
    <x v="123"/>
    <n v="87"/>
    <n v="8.3000000000000007"/>
    <n v="83"/>
    <n v="175896"/>
    <m/>
    <n v="94"/>
    <n v="55"/>
    <n v="91"/>
    <n v="80258"/>
    <n v="86"/>
    <n v="168051"/>
    <n v="46"/>
    <s v="itunes, amzvid, hbm"/>
    <n v="80"/>
    <n v="3"/>
    <n v="1930"/>
  </r>
  <r>
    <x v="442"/>
    <x v="441"/>
    <n v="2003"/>
    <x v="218"/>
    <x v="5"/>
    <s v="en"/>
    <s v="Nominated for 1 Golden Globe. Another 23 wins &amp; 64 nominations."/>
    <x v="4"/>
    <n v="80"/>
    <n v="8.1999999999999993"/>
    <n v="82"/>
    <n v="1243483"/>
    <n v="69"/>
    <n v="75"/>
    <n v="136"/>
    <n v="80"/>
    <n v="22372068"/>
    <n v="84"/>
    <n v="2000199"/>
    <n v="90"/>
    <s v="itunes, amzvid"/>
    <n v="80"/>
    <n v="-5"/>
    <n v="2000"/>
  </r>
  <r>
    <x v="443"/>
    <x v="442"/>
    <n v="1942"/>
    <x v="227"/>
    <x v="279"/>
    <s v="en"/>
    <s v="1 win &amp; 2 nominations."/>
    <x v="70"/>
    <n v="81"/>
    <n v="7.2"/>
    <n v="72"/>
    <n v="27231"/>
    <n v="85"/>
    <n v="84"/>
    <n v="59"/>
    <n v="72"/>
    <n v="27875"/>
    <n v="74"/>
    <n v="67874"/>
    <n v="89"/>
    <s v="amzvid, itunes, hbm"/>
    <n v="79.33"/>
    <n v="12"/>
    <n v="1940"/>
  </r>
  <r>
    <x v="444"/>
    <x v="443"/>
    <n v="1976"/>
    <x v="2"/>
    <x v="280"/>
    <s v="en"/>
    <s v="Won 3 Oscars. Another 17 wins &amp; 20 nominations."/>
    <x v="8"/>
    <n v="82"/>
    <n v="8.1"/>
    <n v="81"/>
    <n v="655553"/>
    <n v="70"/>
    <n v="81"/>
    <n v="59"/>
    <n v="71"/>
    <n v="22486658"/>
    <n v="82"/>
    <n v="651986"/>
    <n v="90"/>
    <s v="itunes, amzvid"/>
    <n v="79.17"/>
    <n v="10"/>
    <n v="1970"/>
  </r>
  <r>
    <x v="445"/>
    <x v="444"/>
    <n v="2017"/>
    <x v="11"/>
    <x v="20"/>
    <s v="en"/>
    <s v=""/>
    <x v="7"/>
    <n v="81"/>
    <n v="7.4"/>
    <n v="74"/>
    <n v="151144"/>
    <n v="90"/>
    <n v="86"/>
    <n v="235"/>
    <n v="71"/>
    <n v="158555"/>
    <n v="82"/>
    <n v="459029"/>
    <n v="72"/>
    <s v="itunes, amzvid"/>
    <n v="79.17"/>
    <n v="15"/>
    <n v="2010"/>
  </r>
  <r>
    <x v="446"/>
    <x v="445"/>
    <n v="2016"/>
    <x v="170"/>
    <x v="281"/>
    <s v="en"/>
    <s v=""/>
    <x v="7"/>
    <n v="81"/>
    <n v="7.3"/>
    <n v="73"/>
    <n v="91854"/>
    <n v="90"/>
    <n v="86"/>
    <n v="177"/>
    <n v="71"/>
    <n v="74548"/>
    <n v="78"/>
    <n v="190980"/>
    <n v="77"/>
    <s v="prime"/>
    <n v="79.17"/>
    <n v="15"/>
    <n v="2010"/>
  </r>
  <r>
    <x v="447"/>
    <x v="446"/>
    <n v="1997"/>
    <x v="11"/>
    <x v="70"/>
    <s v="en"/>
    <s v="Won 11 Oscars. Another 106 wins &amp; 73 nominations."/>
    <x v="0"/>
    <n v="81"/>
    <n v="7.9"/>
    <n v="79"/>
    <n v="1331693"/>
    <n v="75"/>
    <n v="80"/>
    <n v="147"/>
    <n v="71"/>
    <n v="24549197"/>
    <n v="76"/>
    <n v="2052322"/>
    <n v="93"/>
    <s v="paramount, itunes, amzvid"/>
    <n v="79"/>
    <n v="9"/>
    <n v="1990"/>
  </r>
  <r>
    <x v="448"/>
    <x v="447"/>
    <n v="2019"/>
    <x v="47"/>
    <x v="282"/>
    <s v="en"/>
    <s v=""/>
    <x v="7"/>
    <n v="81"/>
    <n v="7.4"/>
    <n v="74"/>
    <n v="333224"/>
    <n v="93"/>
    <n v="86"/>
    <n v="204"/>
    <n v="57"/>
    <n v="438510"/>
    <n v="78"/>
    <n v="1265981"/>
    <n v="74"/>
    <s v="amzvid, itunes"/>
    <n v="77"/>
    <n v="29"/>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4D2B53-357B-1E45-A1A5-2A078CF7B31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4" firstHeaderRow="1" firstDataRow="1" firstDataCol="1"/>
  <pivotFields count="24">
    <pivotField numFmtId="164" showAll="0">
      <items count="4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dataField="1" showAll="0">
      <items count="449">
        <item x="2"/>
        <item x="44"/>
        <item x="155"/>
        <item x="264"/>
        <item x="126"/>
        <item x="138"/>
        <item x="84"/>
        <item x="211"/>
        <item x="164"/>
        <item x="197"/>
        <item x="25"/>
        <item x="431"/>
        <item x="288"/>
        <item x="400"/>
        <item x="116"/>
        <item x="207"/>
        <item x="47"/>
        <item x="95"/>
        <item x="23"/>
        <item x="193"/>
        <item x="180"/>
        <item x="202"/>
        <item x="259"/>
        <item x="184"/>
        <item x="63"/>
        <item x="293"/>
        <item x="248"/>
        <item x="427"/>
        <item x="351"/>
        <item x="403"/>
        <item x="260"/>
        <item x="160"/>
        <item x="380"/>
        <item x="327"/>
        <item x="149"/>
        <item x="314"/>
        <item x="329"/>
        <item x="19"/>
        <item x="406"/>
        <item x="378"/>
        <item x="408"/>
        <item x="226"/>
        <item x="410"/>
        <item x="50"/>
        <item x="178"/>
        <item x="82"/>
        <item x="246"/>
        <item x="186"/>
        <item x="174"/>
        <item x="281"/>
        <item x="381"/>
        <item x="39"/>
        <item x="435"/>
        <item x="424"/>
        <item x="360"/>
        <item x="379"/>
        <item x="407"/>
        <item x="187"/>
        <item x="426"/>
        <item x="421"/>
        <item x="286"/>
        <item x="222"/>
        <item x="188"/>
        <item x="236"/>
        <item x="372"/>
        <item x="270"/>
        <item x="333"/>
        <item x="399"/>
        <item x="134"/>
        <item x="256"/>
        <item x="391"/>
        <item x="303"/>
        <item x="422"/>
        <item x="14"/>
        <item x="358"/>
        <item x="326"/>
        <item x="442"/>
        <item x="404"/>
        <item x="229"/>
        <item x="69"/>
        <item x="76"/>
        <item x="28"/>
        <item x="277"/>
        <item x="7"/>
        <item x="77"/>
        <item x="315"/>
        <item x="231"/>
        <item x="159"/>
        <item x="347"/>
        <item x="395"/>
        <item x="125"/>
        <item x="356"/>
        <item x="370"/>
        <item x="224"/>
        <item x="419"/>
        <item x="250"/>
        <item x="122"/>
        <item x="267"/>
        <item x="143"/>
        <item x="62"/>
        <item x="151"/>
        <item x="413"/>
        <item x="275"/>
        <item x="20"/>
        <item x="157"/>
        <item x="13"/>
        <item x="423"/>
        <item x="228"/>
        <item x="127"/>
        <item x="252"/>
        <item x="364"/>
        <item x="409"/>
        <item x="64"/>
        <item x="345"/>
        <item x="420"/>
        <item x="312"/>
        <item x="216"/>
        <item x="234"/>
        <item x="297"/>
        <item x="92"/>
        <item x="271"/>
        <item x="140"/>
        <item x="418"/>
        <item x="278"/>
        <item x="128"/>
        <item x="208"/>
        <item x="102"/>
        <item x="437"/>
        <item x="245"/>
        <item x="342"/>
        <item x="166"/>
        <item x="213"/>
        <item x="292"/>
        <item x="291"/>
        <item x="367"/>
        <item x="299"/>
        <item x="243"/>
        <item x="390"/>
        <item x="87"/>
        <item x="214"/>
        <item x="11"/>
        <item x="341"/>
        <item x="371"/>
        <item x="210"/>
        <item x="75"/>
        <item x="221"/>
        <item x="335"/>
        <item x="253"/>
        <item x="425"/>
        <item x="279"/>
        <item x="204"/>
        <item x="310"/>
        <item x="296"/>
        <item x="192"/>
        <item x="368"/>
        <item x="289"/>
        <item x="352"/>
        <item x="365"/>
        <item x="146"/>
        <item x="373"/>
        <item x="304"/>
        <item x="108"/>
        <item x="80"/>
        <item x="436"/>
        <item x="89"/>
        <item x="177"/>
        <item x="215"/>
        <item x="366"/>
        <item x="354"/>
        <item x="132"/>
        <item x="265"/>
        <item x="181"/>
        <item x="362"/>
        <item x="81"/>
        <item x="30"/>
        <item x="183"/>
        <item x="416"/>
        <item x="349"/>
        <item x="441"/>
        <item x="235"/>
        <item x="217"/>
        <item x="274"/>
        <item x="377"/>
        <item x="73"/>
        <item x="301"/>
        <item x="96"/>
        <item x="167"/>
        <item x="137"/>
        <item x="396"/>
        <item x="386"/>
        <item x="22"/>
        <item x="313"/>
        <item x="334"/>
        <item x="284"/>
        <item x="317"/>
        <item x="173"/>
        <item x="258"/>
        <item x="440"/>
        <item x="123"/>
        <item x="385"/>
        <item x="247"/>
        <item x="244"/>
        <item x="152"/>
        <item x="251"/>
        <item x="361"/>
        <item x="384"/>
        <item x="112"/>
        <item x="104"/>
        <item x="29"/>
        <item x="389"/>
        <item x="153"/>
        <item x="276"/>
        <item x="350"/>
        <item x="10"/>
        <item x="388"/>
        <item x="238"/>
        <item x="266"/>
        <item x="71"/>
        <item x="189"/>
        <item x="280"/>
        <item x="343"/>
        <item x="309"/>
        <item x="257"/>
        <item x="344"/>
        <item x="200"/>
        <item x="72"/>
        <item x="263"/>
        <item x="194"/>
        <item x="168"/>
        <item x="262"/>
        <item x="94"/>
        <item x="118"/>
        <item x="33"/>
        <item x="300"/>
        <item x="195"/>
        <item x="148"/>
        <item x="305"/>
        <item x="414"/>
        <item x="97"/>
        <item x="26"/>
        <item x="237"/>
        <item x="35"/>
        <item x="135"/>
        <item x="374"/>
        <item x="375"/>
        <item x="199"/>
        <item x="338"/>
        <item x="41"/>
        <item x="9"/>
        <item x="67"/>
        <item x="445"/>
        <item x="70"/>
        <item x="359"/>
        <item x="239"/>
        <item x="130"/>
        <item x="328"/>
        <item x="444"/>
        <item x="363"/>
        <item x="100"/>
        <item x="319"/>
        <item x="346"/>
        <item x="24"/>
        <item x="376"/>
        <item x="254"/>
        <item x="142"/>
        <item x="18"/>
        <item x="6"/>
        <item x="320"/>
        <item x="117"/>
        <item x="55"/>
        <item x="40"/>
        <item x="21"/>
        <item x="66"/>
        <item x="5"/>
        <item x="141"/>
        <item x="255"/>
        <item x="111"/>
        <item x="240"/>
        <item x="443"/>
        <item x="330"/>
        <item x="331"/>
        <item x="190"/>
        <item x="120"/>
        <item x="227"/>
        <item x="282"/>
        <item x="45"/>
        <item x="3"/>
        <item x="322"/>
        <item x="273"/>
        <item x="1"/>
        <item x="337"/>
        <item x="93"/>
        <item x="325"/>
        <item x="306"/>
        <item x="392"/>
        <item x="429"/>
        <item x="287"/>
        <item x="16"/>
        <item x="220"/>
        <item x="394"/>
        <item x="198"/>
        <item x="321"/>
        <item x="417"/>
        <item x="99"/>
        <item x="17"/>
        <item x="439"/>
        <item x="185"/>
        <item x="295"/>
        <item x="355"/>
        <item x="430"/>
        <item x="85"/>
        <item x="83"/>
        <item x="8"/>
        <item x="101"/>
        <item x="175"/>
        <item x="242"/>
        <item x="43"/>
        <item x="36"/>
        <item x="144"/>
        <item x="31"/>
        <item x="428"/>
        <item x="336"/>
        <item x="51"/>
        <item x="119"/>
        <item x="48"/>
        <item x="109"/>
        <item x="34"/>
        <item x="308"/>
        <item x="316"/>
        <item x="15"/>
        <item x="405"/>
        <item x="57"/>
        <item x="191"/>
        <item x="382"/>
        <item x="323"/>
        <item x="218"/>
        <item x="79"/>
        <item x="203"/>
        <item x="110"/>
        <item x="171"/>
        <item x="438"/>
        <item x="113"/>
        <item x="68"/>
        <item x="158"/>
        <item x="206"/>
        <item x="339"/>
        <item x="294"/>
        <item x="136"/>
        <item x="290"/>
        <item x="434"/>
        <item x="162"/>
        <item x="272"/>
        <item x="98"/>
        <item x="0"/>
        <item x="4"/>
        <item x="12"/>
        <item x="212"/>
        <item x="139"/>
        <item x="402"/>
        <item x="115"/>
        <item x="219"/>
        <item x="233"/>
        <item x="223"/>
        <item x="241"/>
        <item x="165"/>
        <item x="176"/>
        <item x="283"/>
        <item x="156"/>
        <item x="107"/>
        <item x="74"/>
        <item x="393"/>
        <item x="56"/>
        <item x="32"/>
        <item x="27"/>
        <item x="61"/>
        <item x="383"/>
        <item x="154"/>
        <item x="145"/>
        <item x="357"/>
        <item x="332"/>
        <item x="65"/>
        <item x="225"/>
        <item x="121"/>
        <item x="53"/>
        <item x="249"/>
        <item x="179"/>
        <item x="298"/>
        <item x="205"/>
        <item x="411"/>
        <item x="60"/>
        <item x="311"/>
        <item x="58"/>
        <item x="49"/>
        <item x="172"/>
        <item x="201"/>
        <item x="161"/>
        <item x="150"/>
        <item x="415"/>
        <item x="170"/>
        <item x="369"/>
        <item x="42"/>
        <item x="196"/>
        <item x="91"/>
        <item x="261"/>
        <item x="232"/>
        <item x="106"/>
        <item x="432"/>
        <item x="397"/>
        <item x="88"/>
        <item x="86"/>
        <item x="285"/>
        <item x="105"/>
        <item x="401"/>
        <item x="387"/>
        <item x="302"/>
        <item x="307"/>
        <item x="268"/>
        <item x="59"/>
        <item x="324"/>
        <item x="209"/>
        <item x="446"/>
        <item x="124"/>
        <item x="433"/>
        <item x="52"/>
        <item x="54"/>
        <item x="182"/>
        <item x="90"/>
        <item x="147"/>
        <item x="447"/>
        <item x="169"/>
        <item x="133"/>
        <item x="38"/>
        <item x="353"/>
        <item x="46"/>
        <item x="129"/>
        <item x="412"/>
        <item x="398"/>
        <item x="37"/>
        <item x="318"/>
        <item x="340"/>
        <item x="269"/>
        <item x="78"/>
        <item x="131"/>
        <item x="230"/>
        <item x="114"/>
        <item x="163"/>
        <item x="103"/>
        <item x="348"/>
        <item t="default"/>
      </items>
    </pivotField>
    <pivotField numFmtId="1" showAll="0"/>
    <pivotField showAll="0"/>
    <pivotField axis="axisRow" showAll="0" measureFilter="1" sortType="descending">
      <items count="284">
        <item x="171"/>
        <item x="1"/>
        <item x="176"/>
        <item x="177"/>
        <item x="269"/>
        <item x="148"/>
        <item x="156"/>
        <item x="4"/>
        <item x="205"/>
        <item x="72"/>
        <item x="209"/>
        <item x="183"/>
        <item x="124"/>
        <item x="33"/>
        <item x="89"/>
        <item x="202"/>
        <item x="153"/>
        <item x="92"/>
        <item x="277"/>
        <item x="193"/>
        <item x="19"/>
        <item x="247"/>
        <item x="108"/>
        <item x="213"/>
        <item x="128"/>
        <item x="253"/>
        <item x="159"/>
        <item x="15"/>
        <item x="58"/>
        <item x="8"/>
        <item x="47"/>
        <item x="274"/>
        <item x="137"/>
        <item x="270"/>
        <item x="157"/>
        <item x="126"/>
        <item x="30"/>
        <item x="18"/>
        <item x="48"/>
        <item x="46"/>
        <item x="6"/>
        <item x="85"/>
        <item x="61"/>
        <item x="238"/>
        <item x="233"/>
        <item x="81"/>
        <item x="106"/>
        <item x="71"/>
        <item x="123"/>
        <item x="272"/>
        <item x="98"/>
        <item x="50"/>
        <item x="227"/>
        <item x="27"/>
        <item x="230"/>
        <item x="101"/>
        <item x="170"/>
        <item x="234"/>
        <item x="210"/>
        <item x="276"/>
        <item x="119"/>
        <item x="218"/>
        <item x="16"/>
        <item x="113"/>
        <item x="190"/>
        <item x="150"/>
        <item x="90"/>
        <item x="229"/>
        <item x="221"/>
        <item x="125"/>
        <item x="226"/>
        <item x="249"/>
        <item x="83"/>
        <item x="102"/>
        <item x="42"/>
        <item x="204"/>
        <item x="179"/>
        <item x="59"/>
        <item x="54"/>
        <item x="40"/>
        <item x="97"/>
        <item x="0"/>
        <item x="197"/>
        <item x="35"/>
        <item x="24"/>
        <item x="201"/>
        <item x="23"/>
        <item x="246"/>
        <item x="57"/>
        <item x="118"/>
        <item x="86"/>
        <item x="31"/>
        <item x="87"/>
        <item x="135"/>
        <item x="146"/>
        <item x="13"/>
        <item x="91"/>
        <item x="53"/>
        <item x="120"/>
        <item x="29"/>
        <item x="145"/>
        <item x="165"/>
        <item x="237"/>
        <item x="7"/>
        <item x="76"/>
        <item x="152"/>
        <item x="68"/>
        <item x="130"/>
        <item x="43"/>
        <item x="26"/>
        <item x="104"/>
        <item x="239"/>
        <item x="267"/>
        <item x="133"/>
        <item x="178"/>
        <item x="279"/>
        <item x="70"/>
        <item x="141"/>
        <item x="168"/>
        <item x="167"/>
        <item x="242"/>
        <item x="235"/>
        <item x="199"/>
        <item x="281"/>
        <item x="117"/>
        <item x="206"/>
        <item x="173"/>
        <item x="67"/>
        <item x="69"/>
        <item x="194"/>
        <item x="143"/>
        <item x="225"/>
        <item x="100"/>
        <item x="280"/>
        <item x="107"/>
        <item x="39"/>
        <item x="181"/>
        <item x="254"/>
        <item x="189"/>
        <item x="216"/>
        <item x="36"/>
        <item x="198"/>
        <item x="275"/>
        <item x="17"/>
        <item x="282"/>
        <item x="79"/>
        <item x="139"/>
        <item x="111"/>
        <item x="223"/>
        <item x="151"/>
        <item x="60"/>
        <item x="166"/>
        <item x="122"/>
        <item x="224"/>
        <item x="278"/>
        <item x="188"/>
        <item x="257"/>
        <item x="187"/>
        <item x="65"/>
        <item x="129"/>
        <item x="136"/>
        <item x="96"/>
        <item x="248"/>
        <item x="215"/>
        <item x="200"/>
        <item x="75"/>
        <item x="184"/>
        <item x="241"/>
        <item x="222"/>
        <item x="142"/>
        <item x="9"/>
        <item x="244"/>
        <item x="115"/>
        <item x="147"/>
        <item x="82"/>
        <item x="12"/>
        <item x="112"/>
        <item x="172"/>
        <item x="236"/>
        <item x="45"/>
        <item x="211"/>
        <item x="243"/>
        <item x="144"/>
        <item x="25"/>
        <item x="94"/>
        <item x="174"/>
        <item x="264"/>
        <item x="271"/>
        <item x="105"/>
        <item x="262"/>
        <item x="182"/>
        <item x="110"/>
        <item x="73"/>
        <item x="22"/>
        <item x="252"/>
        <item x="163"/>
        <item x="258"/>
        <item x="84"/>
        <item x="219"/>
        <item x="134"/>
        <item x="20"/>
        <item x="232"/>
        <item x="131"/>
        <item x="95"/>
        <item x="77"/>
        <item x="21"/>
        <item x="66"/>
        <item x="5"/>
        <item x="78"/>
        <item x="185"/>
        <item x="186"/>
        <item x="116"/>
        <item x="121"/>
        <item x="34"/>
        <item x="250"/>
        <item x="164"/>
        <item x="180"/>
        <item x="245"/>
        <item x="88"/>
        <item x="217"/>
        <item x="80"/>
        <item x="263"/>
        <item x="37"/>
        <item x="255"/>
        <item x="260"/>
        <item x="51"/>
        <item x="38"/>
        <item x="140"/>
        <item x="149"/>
        <item x="155"/>
        <item x="154"/>
        <item x="169"/>
        <item x="63"/>
        <item x="273"/>
        <item x="261"/>
        <item x="268"/>
        <item x="196"/>
        <item x="10"/>
        <item x="191"/>
        <item x="266"/>
        <item x="220"/>
        <item x="259"/>
        <item x="161"/>
        <item x="2"/>
        <item x="175"/>
        <item x="138"/>
        <item x="44"/>
        <item x="14"/>
        <item x="11"/>
        <item x="32"/>
        <item x="3"/>
        <item x="132"/>
        <item x="208"/>
        <item x="256"/>
        <item x="203"/>
        <item x="195"/>
        <item x="160"/>
        <item x="192"/>
        <item x="49"/>
        <item x="52"/>
        <item x="158"/>
        <item x="240"/>
        <item x="228"/>
        <item x="207"/>
        <item x="109"/>
        <item x="74"/>
        <item x="214"/>
        <item x="127"/>
        <item x="55"/>
        <item x="265"/>
        <item x="62"/>
        <item x="93"/>
        <item x="251"/>
        <item x="28"/>
        <item x="56"/>
        <item x="99"/>
        <item x="114"/>
        <item x="41"/>
        <item x="162"/>
        <item x="64"/>
        <item x="103"/>
        <item x="231"/>
        <item x="212"/>
        <item t="default"/>
      </items>
      <autoSortScope>
        <pivotArea dataOnly="0" outline="0" fieldPosition="0">
          <references count="1">
            <reference field="4294967294" count="1" selected="0">
              <x v="0"/>
            </reference>
          </references>
        </pivotArea>
      </autoSortScope>
    </pivotField>
    <pivotField showAll="0"/>
    <pivotField showAll="0"/>
    <pivotField showAll="0">
      <items count="125">
        <item x="7"/>
        <item x="14"/>
        <item x="36"/>
        <item x="118"/>
        <item x="108"/>
        <item x="95"/>
        <item x="86"/>
        <item x="30"/>
        <item x="37"/>
        <item x="81"/>
        <item x="101"/>
        <item x="105"/>
        <item x="26"/>
        <item x="67"/>
        <item x="97"/>
        <item x="57"/>
        <item x="100"/>
        <item x="90"/>
        <item x="33"/>
        <item x="42"/>
        <item x="1"/>
        <item x="68"/>
        <item x="59"/>
        <item x="2"/>
        <item x="29"/>
        <item x="43"/>
        <item x="79"/>
        <item x="80"/>
        <item x="93"/>
        <item x="62"/>
        <item x="69"/>
        <item x="21"/>
        <item x="92"/>
        <item x="120"/>
        <item x="119"/>
        <item x="114"/>
        <item x="25"/>
        <item x="123"/>
        <item x="121"/>
        <item x="50"/>
        <item x="65"/>
        <item x="54"/>
        <item x="74"/>
        <item x="45"/>
        <item x="49"/>
        <item x="94"/>
        <item x="28"/>
        <item x="39"/>
        <item x="47"/>
        <item x="18"/>
        <item x="116"/>
        <item x="84"/>
        <item x="110"/>
        <item x="111"/>
        <item x="34"/>
        <item x="96"/>
        <item x="75"/>
        <item x="77"/>
        <item x="13"/>
        <item x="53"/>
        <item x="63"/>
        <item x="58"/>
        <item x="4"/>
        <item x="109"/>
        <item x="122"/>
        <item x="16"/>
        <item x="87"/>
        <item x="44"/>
        <item x="41"/>
        <item x="40"/>
        <item x="24"/>
        <item x="91"/>
        <item x="112"/>
        <item x="66"/>
        <item x="0"/>
        <item x="113"/>
        <item x="27"/>
        <item x="103"/>
        <item x="22"/>
        <item x="88"/>
        <item x="61"/>
        <item x="12"/>
        <item x="102"/>
        <item x="70"/>
        <item x="17"/>
        <item x="104"/>
        <item x="82"/>
        <item x="98"/>
        <item x="10"/>
        <item x="15"/>
        <item x="32"/>
        <item x="73"/>
        <item x="107"/>
        <item x="71"/>
        <item x="64"/>
        <item x="117"/>
        <item x="51"/>
        <item x="56"/>
        <item x="31"/>
        <item x="72"/>
        <item x="46"/>
        <item x="19"/>
        <item x="115"/>
        <item x="20"/>
        <item x="5"/>
        <item x="8"/>
        <item x="38"/>
        <item x="106"/>
        <item x="99"/>
        <item x="83"/>
        <item x="48"/>
        <item x="3"/>
        <item x="78"/>
        <item x="35"/>
        <item x="6"/>
        <item x="76"/>
        <item x="9"/>
        <item x="11"/>
        <item x="55"/>
        <item x="89"/>
        <item x="52"/>
        <item x="60"/>
        <item x="85"/>
        <item x="23"/>
        <item t="default"/>
      </items>
    </pivotField>
    <pivotField numFmtId="1" showAll="0"/>
    <pivotField numFmtId="165" showAll="0"/>
    <pivotField numFmtId="1" showAll="0"/>
    <pivotField numFmtId="1" showAll="0"/>
    <pivotField showAll="0"/>
    <pivotField numFmtId="1" showAll="0"/>
    <pivotField numFmtId="1" showAll="0"/>
    <pivotField showAll="0"/>
    <pivotField showAll="0"/>
    <pivotField numFmtId="1" showAll="0"/>
    <pivotField showAll="0"/>
    <pivotField showAll="0"/>
    <pivotField showAll="0"/>
    <pivotField numFmtId="2" showAll="0"/>
    <pivotField numFmtId="1" showAll="0"/>
    <pivotField numFmtId="1" showAll="0"/>
  </pivotFields>
  <rowFields count="1">
    <field x="4"/>
  </rowFields>
  <rowItems count="11">
    <i>
      <x v="170"/>
    </i>
    <i>
      <x v="250"/>
    </i>
    <i>
      <x v="248"/>
    </i>
    <i>
      <x v="7"/>
    </i>
    <i>
      <x v="103"/>
    </i>
    <i>
      <x v="275"/>
    </i>
    <i>
      <x v="207"/>
    </i>
    <i>
      <x v="6"/>
    </i>
    <i>
      <x v="45"/>
    </i>
    <i>
      <x v="66"/>
    </i>
    <i t="grand">
      <x/>
    </i>
  </rowItems>
  <colItems count="1">
    <i/>
  </colItems>
  <dataFields count="1">
    <dataField name="Count of Title" fld="1" subtotal="count" baseField="0" baseItem="0"/>
  </dataFields>
  <pivotTableStyleInfo name="PivotStyleMedium15" showRowHeaders="1" showColHeaders="1" showRowStripes="1" showColStripes="1"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7B13F-0F09-E74A-924C-89868A87736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32" firstHeaderRow="0" firstDataRow="1" firstDataCol="1"/>
  <pivotFields count="24">
    <pivotField numFmtId="164" showAll="0"/>
    <pivotField showAll="0"/>
    <pivotField numFmtId="1" showAll="0"/>
    <pivotField axis="axisRow" showAll="0">
      <items count="229">
        <item x="194"/>
        <item x="134"/>
        <item x="128"/>
        <item x="76"/>
        <item x="211"/>
        <item x="218"/>
        <item x="95"/>
        <item x="1"/>
        <item x="30"/>
        <item x="178"/>
        <item x="210"/>
        <item x="184"/>
        <item x="182"/>
        <item x="122"/>
        <item x="149"/>
        <item x="21"/>
        <item x="151"/>
        <item x="63"/>
        <item x="40"/>
        <item x="27"/>
        <item x="135"/>
        <item x="163"/>
        <item x="198"/>
        <item x="167"/>
        <item x="113"/>
        <item x="50"/>
        <item x="36"/>
        <item x="195"/>
        <item x="77"/>
        <item x="148"/>
        <item x="137"/>
        <item x="185"/>
        <item x="22"/>
        <item x="88"/>
        <item x="69"/>
        <item x="123"/>
        <item x="19"/>
        <item x="193"/>
        <item x="127"/>
        <item x="57"/>
        <item x="39"/>
        <item x="124"/>
        <item x="139"/>
        <item x="112"/>
        <item x="107"/>
        <item x="84"/>
        <item x="46"/>
        <item x="169"/>
        <item x="82"/>
        <item x="223"/>
        <item x="133"/>
        <item x="92"/>
        <item x="86"/>
        <item x="83"/>
        <item x="55"/>
        <item x="118"/>
        <item x="60"/>
        <item x="161"/>
        <item x="7"/>
        <item x="33"/>
        <item x="80"/>
        <item x="203"/>
        <item x="175"/>
        <item x="68"/>
        <item x="58"/>
        <item x="96"/>
        <item x="65"/>
        <item x="204"/>
        <item x="115"/>
        <item x="153"/>
        <item x="61"/>
        <item x="157"/>
        <item x="225"/>
        <item x="6"/>
        <item x="207"/>
        <item x="100"/>
        <item x="209"/>
        <item x="212"/>
        <item x="132"/>
        <item x="97"/>
        <item x="13"/>
        <item x="14"/>
        <item x="131"/>
        <item x="8"/>
        <item x="10"/>
        <item x="202"/>
        <item x="216"/>
        <item x="37"/>
        <item x="141"/>
        <item x="214"/>
        <item x="98"/>
        <item x="18"/>
        <item x="48"/>
        <item x="91"/>
        <item x="35"/>
        <item x="177"/>
        <item x="52"/>
        <item x="17"/>
        <item x="145"/>
        <item x="38"/>
        <item x="71"/>
        <item x="99"/>
        <item x="155"/>
        <item x="205"/>
        <item x="2"/>
        <item x="119"/>
        <item x="129"/>
        <item x="171"/>
        <item x="196"/>
        <item x="158"/>
        <item x="81"/>
        <item x="173"/>
        <item x="170"/>
        <item x="0"/>
        <item x="62"/>
        <item x="25"/>
        <item x="222"/>
        <item x="166"/>
        <item x="180"/>
        <item x="32"/>
        <item x="215"/>
        <item x="144"/>
        <item x="3"/>
        <item x="190"/>
        <item x="136"/>
        <item x="75"/>
        <item x="72"/>
        <item x="28"/>
        <item x="146"/>
        <item x="168"/>
        <item x="208"/>
        <item x="11"/>
        <item x="121"/>
        <item x="20"/>
        <item x="42"/>
        <item x="104"/>
        <item x="24"/>
        <item x="66"/>
        <item x="41"/>
        <item x="70"/>
        <item x="188"/>
        <item x="47"/>
        <item x="150"/>
        <item x="142"/>
        <item x="111"/>
        <item x="126"/>
        <item x="16"/>
        <item x="67"/>
        <item x="12"/>
        <item x="103"/>
        <item x="59"/>
        <item x="64"/>
        <item x="53"/>
        <item x="109"/>
        <item x="94"/>
        <item x="102"/>
        <item x="125"/>
        <item x="200"/>
        <item x="90"/>
        <item x="174"/>
        <item x="51"/>
        <item x="43"/>
        <item x="154"/>
        <item x="31"/>
        <item x="54"/>
        <item x="176"/>
        <item x="44"/>
        <item x="187"/>
        <item x="186"/>
        <item x="172"/>
        <item x="165"/>
        <item x="138"/>
        <item x="34"/>
        <item x="101"/>
        <item x="108"/>
        <item x="15"/>
        <item x="114"/>
        <item x="152"/>
        <item x="224"/>
        <item x="93"/>
        <item x="23"/>
        <item x="213"/>
        <item x="227"/>
        <item x="29"/>
        <item x="87"/>
        <item x="73"/>
        <item x="117"/>
        <item x="160"/>
        <item x="181"/>
        <item x="85"/>
        <item x="105"/>
        <item x="183"/>
        <item x="159"/>
        <item x="56"/>
        <item x="192"/>
        <item x="116"/>
        <item x="79"/>
        <item x="199"/>
        <item x="120"/>
        <item x="130"/>
        <item x="45"/>
        <item x="110"/>
        <item x="164"/>
        <item x="106"/>
        <item x="78"/>
        <item x="191"/>
        <item x="189"/>
        <item x="217"/>
        <item x="26"/>
        <item x="5"/>
        <item x="89"/>
        <item x="219"/>
        <item x="143"/>
        <item x="74"/>
        <item x="197"/>
        <item x="201"/>
        <item x="4"/>
        <item x="179"/>
        <item x="221"/>
        <item x="220"/>
        <item x="140"/>
        <item x="49"/>
        <item x="226"/>
        <item x="206"/>
        <item x="147"/>
        <item x="9"/>
        <item x="156"/>
        <item x="162"/>
        <item t="default"/>
      </items>
    </pivotField>
    <pivotField showAll="0"/>
    <pivotField showAll="0"/>
    <pivotField showAll="0"/>
    <pivotField showAll="0"/>
    <pivotField numFmtId="1" showAll="0"/>
    <pivotField dataField="1" numFmtId="165" showAll="0"/>
    <pivotField numFmtId="1" showAll="0"/>
    <pivotField numFmtId="1" showAll="0"/>
    <pivotField showAll="0"/>
    <pivotField numFmtId="1" showAll="0"/>
    <pivotField numFmtId="1" showAll="0"/>
    <pivotField showAll="0"/>
    <pivotField showAll="0"/>
    <pivotField numFmtId="1" showAll="0"/>
    <pivotField showAll="0"/>
    <pivotField showAll="0"/>
    <pivotField showAll="0"/>
    <pivotField numFmtId="2" showAll="0"/>
    <pivotField numFmtId="1" showAll="0"/>
    <pivotField numFmtId="1" showAll="0"/>
  </pivotFields>
  <rowFields count="1">
    <field x="3"/>
  </rowFields>
  <rowItems count="2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t="grand">
      <x/>
    </i>
  </rowItems>
  <colFields count="1">
    <field x="-2"/>
  </colFields>
  <colItems count="2">
    <i>
      <x/>
    </i>
    <i i="1">
      <x v="1"/>
    </i>
  </colItems>
  <dataFields count="2">
    <dataField name="Average of IMDb_10" fld="9" subtotal="average" baseField="0" baseItem="0"/>
    <dataField name="Count of IMDb_10" fld="9"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5CF3B1-3F3E-1B43-B753-9708E37FBB54}" autoFormatId="16" applyNumberFormats="0" applyBorderFormats="0" applyFontFormats="0" applyPatternFormats="0" applyAlignmentFormats="0" applyWidthHeightFormats="0">
  <queryTableRefresh nextId="29" unboundColumnsRight="2">
    <queryTableFields count="24">
      <queryTableField id="1" name="Rank" tableColumnId="1"/>
      <queryTableField id="2" name="Title" tableColumnId="2"/>
      <queryTableField id="3" name="Year" tableColumnId="3"/>
      <queryTableField id="4" name="Genre" tableColumnId="4"/>
      <queryTableField id="5" name="Director" tableColumnId="5"/>
      <queryTableField id="7" name="Language" tableColumnId="7"/>
      <queryTableField id="9" name="Awards" tableColumnId="9"/>
      <queryTableField id="10" name="Production" tableColumnId="10"/>
      <queryTableField id="11" name="Flickmetrix_Score" tableColumnId="11"/>
      <queryTableField id="12" name="IMDb_10" tableColumnId="12"/>
      <queryTableField id="13" name="IMDb_100" tableColumnId="13"/>
      <queryTableField id="14" name="IMDb_Votes" tableColumnId="14"/>
      <queryTableField id="15" name="Metacritic" tableColumnId="15"/>
      <queryTableField id="16" name="Critic_Rating_RT" tableColumnId="16"/>
      <queryTableField id="17" name="Critic_Reviews" tableColumnId="17"/>
      <queryTableField id="18" name="Audience_Rating" tableColumnId="18"/>
      <queryTableField id="19" name="Audience_Reviews" tableColumnId="19"/>
      <queryTableField id="20" name="Letterboxd" tableColumnId="20"/>
      <queryTableField id="21" name="Letterboxd_Votes" tableColumnId="21"/>
      <queryTableField id="22" name="Google_Score" tableColumnId="22"/>
      <queryTableField id="23" name="Streaming_On" tableColumnId="23"/>
      <queryTableField id="26" name="Custom_Score" tableColumnId="26"/>
      <queryTableField id="27" dataBound="0" tableColumnId="27"/>
      <queryTableField id="28" dataBound="0" tableColumnId="28"/>
    </queryTableFields>
    <queryTableDeletedFields count="2">
      <deletedField name="RT_URL"/>
      <deletedField name="imdbID"/>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715910-A950-7C43-AEFD-40B856AB2D0A}" name="Table3" displayName="Table3" ref="A1:Z453" totalsRowShown="0">
  <autoFilter ref="A1:Z453" xr:uid="{12715910-A950-7C43-AEFD-40B856AB2D0A}"/>
  <tableColumns count="26">
    <tableColumn id="1" xr3:uid="{0AD06A0A-17C0-CC41-A715-3A00908DA85B}" name="Rank"/>
    <tableColumn id="2" xr3:uid="{76D98B31-D674-6245-8A9E-1103AD630BF8}" name="Title"/>
    <tableColumn id="3" xr3:uid="{69853730-A9B6-CA4C-BD8D-DA62A9091931}" name="Year"/>
    <tableColumn id="4" xr3:uid="{CA4F0DF6-FEB8-5C44-9284-0617692A5EE8}" name="Genre"/>
    <tableColumn id="5" xr3:uid="{B0AD9CC9-D9AD-9D47-A396-2205E1232F2F}" name="Director"/>
    <tableColumn id="6" xr3:uid="{93455AB0-FABF-774C-B7D8-7294B0825C7E}" name="Cast"/>
    <tableColumn id="7" xr3:uid="{94B28A6A-8796-4043-BF45-B7DA776172E0}" name="Language"/>
    <tableColumn id="8" xr3:uid="{BAAD6FC5-2769-F844-9802-724287C8AB6C}" name="Plot"/>
    <tableColumn id="9" xr3:uid="{27FF8942-C1B1-A84E-8DB3-759C1F856CC7}" name="Awards"/>
    <tableColumn id="10" xr3:uid="{BB2C90AA-DE7F-C341-82D4-7B0358998979}" name="Production"/>
    <tableColumn id="11" xr3:uid="{1B883F85-8B74-0446-9DDC-02EEF55D7B6E}" name="Flickmetrix_Score"/>
    <tableColumn id="12" xr3:uid="{FC8C92E8-2CFF-2147-9F09-B9CC831291D1}" name="IMDb_10" dataDxfId="24"/>
    <tableColumn id="13" xr3:uid="{614AB7E8-8C39-704C-BF90-EFA32E0FEEE0}" name="IMDb_100"/>
    <tableColumn id="14" xr3:uid="{0798BED1-DB9C-EB4F-BA4B-6426E6E52F4F}" name="IMDb_Votes"/>
    <tableColumn id="15" xr3:uid="{9E57F0FB-4776-CE46-8315-DF4D16C5230B}" name="Metacritic"/>
    <tableColumn id="16" xr3:uid="{51EBFE57-52F2-4348-AB7B-2ED1E1343C97}" name="Critic_Rating_RT"/>
    <tableColumn id="17" xr3:uid="{C59483DD-EA75-AD4F-BCE0-10AA5B60B2ED}" name="Critic_Reviews"/>
    <tableColumn id="18" xr3:uid="{A6D07E9B-B17B-7A49-838E-19DBA65BE464}" name="Audience_Rating"/>
    <tableColumn id="19" xr3:uid="{65DF608B-9819-A840-B6DD-6BCCFB1086AE}" name="Audience_Reviews"/>
    <tableColumn id="20" xr3:uid="{3397BCC0-4929-AD4A-B787-71D9870AE1BB}" name="Letterboxd"/>
    <tableColumn id="21" xr3:uid="{BB33A97E-C6FB-8642-A923-856B406D797E}" name="Letterboxd_Votes"/>
    <tableColumn id="22" xr3:uid="{A9DE71E1-4A0B-B840-B156-3ED020DFAA2B}" name="Google_Score"/>
    <tableColumn id="23" xr3:uid="{9B1E7ADB-E8CC-F242-9107-2C59072801AA}" name="Streaming_On"/>
    <tableColumn id="24" xr3:uid="{BC204E9A-F546-304F-9BCB-AC6EE8D42300}" name="RT_URL"/>
    <tableColumn id="25" xr3:uid="{31F542DF-568B-454C-B8E9-D7CB0BA265BF}" name="imdbID"/>
    <tableColumn id="26" xr3:uid="{E67CF9CB-4F12-6443-8785-088A0682C83E}" name="Custom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F25E2B-0FC5-004D-A83A-CCA1F102A9C5}" name="Top_500_Movies_Ranked_by_Combined_Critics_and_Audience_Scores" displayName="Top_500_Movies_Ranked_by_Combined_Critics_and_Audience_Scores" ref="A1:X450" tableType="queryTable" totalsRowShown="0">
  <autoFilter ref="A1:X450" xr:uid="{2AF25E2B-0FC5-004D-A83A-CCA1F102A9C5}"/>
  <sortState xmlns:xlrd2="http://schemas.microsoft.com/office/spreadsheetml/2017/richdata2" ref="A2:X450">
    <sortCondition ref="A1:A450"/>
  </sortState>
  <tableColumns count="24">
    <tableColumn id="1" xr3:uid="{1D4DD13E-3F27-1C47-BCB2-3F2D0D36665D}" uniqueName="1" name="Rank" queryTableFieldId="1" dataDxfId="23" dataCellStyle="Comma"/>
    <tableColumn id="2" xr3:uid="{F7EFB729-182F-1D40-A96B-8918101FCB12}" uniqueName="2" name="Title" queryTableFieldId="2" dataDxfId="22"/>
    <tableColumn id="3" xr3:uid="{B1BC8C89-DAC0-D74A-BDB2-7597CB87ADCD}" uniqueName="3" name="Year" queryTableFieldId="3" dataDxfId="21"/>
    <tableColumn id="4" xr3:uid="{D0144A3A-DA50-3546-9DFA-37C6B9BDD83B}" uniqueName="4" name="Genre" queryTableFieldId="4" dataDxfId="20"/>
    <tableColumn id="5" xr3:uid="{BA5740E9-6AA4-A04F-92E2-396FEF7130F6}" uniqueName="5" name="Director" queryTableFieldId="5" dataDxfId="19"/>
    <tableColumn id="7" xr3:uid="{00612D30-4677-4E4F-862C-972E5FF5CD66}" uniqueName="7" name="Language" queryTableFieldId="7" dataDxfId="18"/>
    <tableColumn id="9" xr3:uid="{09060FFC-B0D3-DC46-B1C3-CF3052988B27}" uniqueName="9" name="Awards" queryTableFieldId="9" dataDxfId="17"/>
    <tableColumn id="10" xr3:uid="{F33B95F2-DC1B-874F-9678-46871659B903}" uniqueName="10" name="Production" queryTableFieldId="10" dataDxfId="16"/>
    <tableColumn id="11" xr3:uid="{2EA810D6-911F-6F46-8684-B24F4433BBB0}" uniqueName="11" name="Flickmetrix_Score" queryTableFieldId="11" dataDxfId="15"/>
    <tableColumn id="12" xr3:uid="{AB272914-B2FD-3041-ABA7-F76FD89632EC}" uniqueName="12" name="IMDb_10" queryTableFieldId="12" dataDxfId="14"/>
    <tableColumn id="13" xr3:uid="{60C97639-8001-B544-ACEC-438070E064D9}" uniqueName="13" name="IMDb_100" queryTableFieldId="13" dataDxfId="13"/>
    <tableColumn id="14" xr3:uid="{1085EC47-FFEA-CA4C-A849-0B22827AC791}" uniqueName="14" name="IMDb_Votes" queryTableFieldId="14" dataDxfId="12"/>
    <tableColumn id="15" xr3:uid="{3B21FCD0-41E6-E641-B1E7-33C08744CF79}" uniqueName="15" name="Metacritic" queryTableFieldId="15" dataDxfId="11"/>
    <tableColumn id="16" xr3:uid="{7EDC3FBF-EC64-FE4E-B319-C3807B93559A}" uniqueName="16" name="Critic_Rating_RT" queryTableFieldId="16" dataDxfId="10"/>
    <tableColumn id="17" xr3:uid="{0CD723CE-1C04-F64D-A785-563D0F587FE6}" uniqueName="17" name="Critic_Reviews" queryTableFieldId="17" dataDxfId="9"/>
    <tableColumn id="18" xr3:uid="{1B1D56CE-4DE2-9948-B204-D6A68CE057BA}" uniqueName="18" name="Audience_Rating" queryTableFieldId="18" dataDxfId="8"/>
    <tableColumn id="19" xr3:uid="{F70A7A54-548A-434F-98F2-3FB0ABBC2CBD}" uniqueName="19" name="Audience_Reviews" queryTableFieldId="19" dataDxfId="7"/>
    <tableColumn id="20" xr3:uid="{23A90C7B-01EA-AA47-A26E-054AA2D66CD9}" uniqueName="20" name="Letterboxd" queryTableFieldId="20" dataDxfId="6"/>
    <tableColumn id="21" xr3:uid="{A8DD411A-9DF8-9B4E-8103-A89D2B22F229}" uniqueName="21" name="Letterboxd_Votes" queryTableFieldId="21" dataDxfId="5"/>
    <tableColumn id="22" xr3:uid="{480C0C58-4BE3-F44B-9CE6-0C9C653C7B07}" uniqueName="22" name="Google_Score" queryTableFieldId="22" dataDxfId="4"/>
    <tableColumn id="23" xr3:uid="{35F1616C-9C5D-2F4E-8AFF-DC72426DB6C3}" uniqueName="23" name="Streaming_On" queryTableFieldId="23" dataDxfId="3"/>
    <tableColumn id="26" xr3:uid="{1C4F771E-3BC4-B140-91F8-1DE75EA62E99}" uniqueName="26" name="Custom_Score" queryTableFieldId="26" dataDxfId="2"/>
    <tableColumn id="27" xr3:uid="{9770E13B-2E11-684C-864E-0A3A83095F51}" uniqueName="27" name="Gap_Score" queryTableFieldId="27" dataDxfId="1">
      <calculatedColumnFormula>Top_500_Movies_Ranked_by_Combined_Critics_and_Audience_Scores[[#This Row],[Critic_Rating_RT]]-Top_500_Movies_Ranked_by_Combined_Critics_and_Audience_Scores[[#This Row],[Audience_Rating]]</calculatedColumnFormula>
    </tableColumn>
    <tableColumn id="28" xr3:uid="{456DFA66-6B13-764E-A490-9BA9D7F8B173}" uniqueName="28" name="Decade" queryTableFieldId="28" dataDxfId="0">
      <calculatedColumnFormula>FLOOR(Top_500_Movies_Ranked_by_Combined_Critics_and_Audience_Scores[[#This Row],[Year]],10)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EE39-69F7-3A45-B501-EBA5AA9964C9}">
  <dimension ref="A1:Z453"/>
  <sheetViews>
    <sheetView workbookViewId="0">
      <selection activeCell="B19" sqref="B19"/>
    </sheetView>
  </sheetViews>
  <sheetFormatPr baseColWidth="10" defaultRowHeight="16" x14ac:dyDescent="0.2"/>
  <cols>
    <col min="1" max="1" width="22.6640625" bestFit="1" customWidth="1"/>
    <col min="2" max="2" width="60.5" bestFit="1" customWidth="1"/>
    <col min="3" max="3" width="9.5" bestFit="1" customWidth="1"/>
    <col min="4" max="4" width="46.1640625" bestFit="1" customWidth="1"/>
    <col min="5" max="6" width="80.6640625" bestFit="1" customWidth="1"/>
    <col min="7" max="7" width="50.6640625" bestFit="1" customWidth="1"/>
    <col min="8" max="8" width="80.6640625" bestFit="1" customWidth="1"/>
    <col min="9" max="9" width="62" bestFit="1" customWidth="1"/>
    <col min="10" max="10" width="38" bestFit="1" customWidth="1"/>
    <col min="11" max="11" width="18.33203125" customWidth="1"/>
    <col min="12" max="12" width="11" customWidth="1"/>
    <col min="13" max="13" width="12" customWidth="1"/>
    <col min="14" max="14" width="13.6640625" customWidth="1"/>
    <col min="15" max="15" width="11.83203125" customWidth="1"/>
    <col min="16" max="16" width="17.1640625" customWidth="1"/>
    <col min="17" max="17" width="15.6640625" customWidth="1"/>
    <col min="18" max="18" width="17.33203125" customWidth="1"/>
    <col min="19" max="19" width="19" customWidth="1"/>
    <col min="20" max="20" width="12.33203125" customWidth="1"/>
    <col min="21" max="21" width="19" bestFit="1" customWidth="1"/>
    <col min="22" max="22" width="50.33203125" bestFit="1" customWidth="1"/>
    <col min="23" max="23" width="37.1640625" bestFit="1" customWidth="1"/>
    <col min="24" max="24" width="78.33203125" bestFit="1" customWidth="1"/>
    <col min="25" max="25" width="10.5" bestFit="1" customWidth="1"/>
    <col min="26" max="26" width="15.1640625"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1</v>
      </c>
      <c r="B2" t="s">
        <v>26</v>
      </c>
      <c r="C2">
        <v>1972</v>
      </c>
      <c r="D2" t="s">
        <v>27</v>
      </c>
      <c r="E2" t="s">
        <v>28</v>
      </c>
      <c r="F2" t="s">
        <v>29</v>
      </c>
      <c r="G2" t="s">
        <v>30</v>
      </c>
      <c r="H2" t="s">
        <v>31</v>
      </c>
      <c r="I2" t="s">
        <v>32</v>
      </c>
      <c r="J2" t="s">
        <v>33</v>
      </c>
      <c r="K2" t="s">
        <v>34</v>
      </c>
      <c r="L2" s="1">
        <v>46062</v>
      </c>
      <c r="M2" t="s">
        <v>35</v>
      </c>
      <c r="N2">
        <v>2108796</v>
      </c>
      <c r="O2" t="s">
        <v>36</v>
      </c>
      <c r="P2" t="s">
        <v>37</v>
      </c>
      <c r="Q2">
        <v>104</v>
      </c>
      <c r="R2" t="s">
        <v>38</v>
      </c>
      <c r="S2" t="s">
        <v>39</v>
      </c>
      <c r="T2">
        <v>90</v>
      </c>
      <c r="U2" t="s">
        <v>40</v>
      </c>
      <c r="V2" t="s">
        <v>41</v>
      </c>
      <c r="W2" t="s">
        <v>42</v>
      </c>
      <c r="X2" t="s">
        <v>43</v>
      </c>
      <c r="Y2" t="s">
        <v>44</v>
      </c>
      <c r="Z2" t="s">
        <v>45</v>
      </c>
    </row>
    <row r="3" spans="1:26" x14ac:dyDescent="0.2">
      <c r="A3">
        <v>2</v>
      </c>
      <c r="B3" t="s">
        <v>46</v>
      </c>
      <c r="C3">
        <v>1954</v>
      </c>
      <c r="D3" t="s">
        <v>47</v>
      </c>
      <c r="E3" t="s">
        <v>48</v>
      </c>
      <c r="F3" t="s">
        <v>49</v>
      </c>
      <c r="G3" t="s">
        <v>50</v>
      </c>
      <c r="H3" t="s">
        <v>51</v>
      </c>
      <c r="I3" t="s">
        <v>52</v>
      </c>
      <c r="J3" t="s">
        <v>53</v>
      </c>
      <c r="K3" t="s">
        <v>34</v>
      </c>
      <c r="L3" s="1">
        <v>46181</v>
      </c>
      <c r="M3" t="s">
        <v>54</v>
      </c>
      <c r="N3">
        <v>381712</v>
      </c>
      <c r="O3" t="s">
        <v>55</v>
      </c>
      <c r="P3" t="s">
        <v>56</v>
      </c>
      <c r="Q3">
        <v>68</v>
      </c>
      <c r="R3" t="s">
        <v>57</v>
      </c>
      <c r="S3" t="s">
        <v>58</v>
      </c>
      <c r="T3">
        <v>92</v>
      </c>
      <c r="U3" t="s">
        <v>59</v>
      </c>
      <c r="V3" t="s">
        <v>34</v>
      </c>
      <c r="W3" t="s">
        <v>60</v>
      </c>
      <c r="X3" t="s">
        <v>61</v>
      </c>
      <c r="Y3" t="s">
        <v>62</v>
      </c>
      <c r="Z3" t="s">
        <v>63</v>
      </c>
    </row>
    <row r="4" spans="1:26" x14ac:dyDescent="0.2">
      <c r="A4">
        <v>3</v>
      </c>
      <c r="B4" t="s">
        <v>64</v>
      </c>
      <c r="C4">
        <v>1957</v>
      </c>
      <c r="D4" t="s">
        <v>65</v>
      </c>
      <c r="E4" t="s">
        <v>66</v>
      </c>
      <c r="F4" t="s">
        <v>67</v>
      </c>
      <c r="G4" t="s">
        <v>30</v>
      </c>
      <c r="H4" t="s">
        <v>68</v>
      </c>
      <c r="I4" t="s">
        <v>69</v>
      </c>
      <c r="J4" t="s">
        <v>70</v>
      </c>
      <c r="K4" t="s">
        <v>35</v>
      </c>
      <c r="L4" t="s">
        <v>71</v>
      </c>
      <c r="M4" t="s">
        <v>41</v>
      </c>
      <c r="N4">
        <v>917215</v>
      </c>
      <c r="O4" t="s">
        <v>56</v>
      </c>
      <c r="P4" t="s">
        <v>34</v>
      </c>
      <c r="Q4">
        <v>58</v>
      </c>
      <c r="R4" t="s">
        <v>57</v>
      </c>
      <c r="S4" t="s">
        <v>72</v>
      </c>
      <c r="T4">
        <v>92</v>
      </c>
      <c r="U4" t="s">
        <v>73</v>
      </c>
      <c r="V4" t="s">
        <v>74</v>
      </c>
      <c r="W4" t="s">
        <v>75</v>
      </c>
      <c r="X4" t="s">
        <v>76</v>
      </c>
      <c r="Y4" t="s">
        <v>77</v>
      </c>
      <c r="Z4" t="s">
        <v>78</v>
      </c>
    </row>
    <row r="5" spans="1:26" x14ac:dyDescent="0.2">
      <c r="A5">
        <v>4</v>
      </c>
      <c r="B5" t="s">
        <v>79</v>
      </c>
      <c r="C5">
        <v>1993</v>
      </c>
      <c r="D5" t="s">
        <v>80</v>
      </c>
      <c r="E5" t="s">
        <v>81</v>
      </c>
      <c r="F5" t="s">
        <v>82</v>
      </c>
      <c r="G5" t="s">
        <v>30</v>
      </c>
      <c r="H5" t="s">
        <v>83</v>
      </c>
      <c r="I5" t="s">
        <v>84</v>
      </c>
      <c r="J5" t="s">
        <v>85</v>
      </c>
      <c r="K5" t="s">
        <v>35</v>
      </c>
      <c r="L5" t="s">
        <v>71</v>
      </c>
      <c r="M5" t="s">
        <v>41</v>
      </c>
      <c r="N5">
        <v>1512905</v>
      </c>
      <c r="O5" t="s">
        <v>38</v>
      </c>
      <c r="P5" t="s">
        <v>34</v>
      </c>
      <c r="Q5">
        <v>82</v>
      </c>
      <c r="R5" t="s">
        <v>57</v>
      </c>
      <c r="S5" t="s">
        <v>86</v>
      </c>
      <c r="T5">
        <v>90</v>
      </c>
      <c r="U5" t="s">
        <v>87</v>
      </c>
      <c r="V5" t="s">
        <v>34</v>
      </c>
      <c r="W5" t="s">
        <v>75</v>
      </c>
      <c r="X5" t="s">
        <v>88</v>
      </c>
      <c r="Y5" t="s">
        <v>89</v>
      </c>
      <c r="Z5" t="s">
        <v>90</v>
      </c>
    </row>
    <row r="6" spans="1:26" x14ac:dyDescent="0.2">
      <c r="A6">
        <v>5</v>
      </c>
      <c r="B6" t="s">
        <v>91</v>
      </c>
      <c r="C6">
        <v>1974</v>
      </c>
      <c r="D6" t="s">
        <v>27</v>
      </c>
      <c r="E6" t="s">
        <v>28</v>
      </c>
      <c r="F6" t="s">
        <v>92</v>
      </c>
      <c r="G6" t="s">
        <v>30</v>
      </c>
      <c r="H6" t="s">
        <v>93</v>
      </c>
      <c r="I6" t="s">
        <v>94</v>
      </c>
      <c r="J6" t="s">
        <v>33</v>
      </c>
      <c r="K6" t="s">
        <v>35</v>
      </c>
      <c r="L6" t="s">
        <v>71</v>
      </c>
      <c r="M6" t="s">
        <v>41</v>
      </c>
      <c r="N6">
        <v>1420179</v>
      </c>
      <c r="O6" t="s">
        <v>41</v>
      </c>
      <c r="P6" t="s">
        <v>38</v>
      </c>
      <c r="Q6">
        <v>80</v>
      </c>
      <c r="R6" t="s">
        <v>57</v>
      </c>
      <c r="S6" t="s">
        <v>95</v>
      </c>
      <c r="T6">
        <v>92</v>
      </c>
      <c r="U6" t="s">
        <v>96</v>
      </c>
      <c r="V6" t="s">
        <v>97</v>
      </c>
      <c r="W6" t="s">
        <v>42</v>
      </c>
      <c r="X6" t="s">
        <v>98</v>
      </c>
      <c r="Y6" t="s">
        <v>99</v>
      </c>
      <c r="Z6" t="s">
        <v>100</v>
      </c>
    </row>
    <row r="7" spans="1:26" x14ac:dyDescent="0.2">
      <c r="A7">
        <v>6</v>
      </c>
      <c r="B7" t="s">
        <v>101</v>
      </c>
      <c r="C7">
        <v>1954</v>
      </c>
      <c r="D7" t="s">
        <v>102</v>
      </c>
      <c r="E7" t="s">
        <v>103</v>
      </c>
      <c r="F7" t="s">
        <v>104</v>
      </c>
      <c r="G7" t="s">
        <v>30</v>
      </c>
      <c r="H7" t="s">
        <v>105</v>
      </c>
      <c r="I7" t="s">
        <v>106</v>
      </c>
      <c r="J7" t="s">
        <v>33</v>
      </c>
      <c r="K7" t="s">
        <v>74</v>
      </c>
      <c r="L7" s="1">
        <v>46150</v>
      </c>
      <c r="M7" t="s">
        <v>107</v>
      </c>
      <c r="N7">
        <v>542959</v>
      </c>
      <c r="O7" t="s">
        <v>36</v>
      </c>
      <c r="P7" t="s">
        <v>38</v>
      </c>
      <c r="Q7">
        <v>94</v>
      </c>
      <c r="R7" t="s">
        <v>35</v>
      </c>
      <c r="S7" t="s">
        <v>108</v>
      </c>
      <c r="T7">
        <v>88</v>
      </c>
      <c r="U7" t="s">
        <v>109</v>
      </c>
      <c r="V7" t="s">
        <v>41</v>
      </c>
      <c r="W7" t="s">
        <v>75</v>
      </c>
      <c r="X7" t="s">
        <v>110</v>
      </c>
      <c r="Y7" t="s">
        <v>111</v>
      </c>
      <c r="Z7" t="s">
        <v>100</v>
      </c>
    </row>
    <row r="8" spans="1:26" x14ac:dyDescent="0.2">
      <c r="A8">
        <v>7</v>
      </c>
      <c r="B8" t="s">
        <v>112</v>
      </c>
      <c r="C8">
        <v>1994</v>
      </c>
      <c r="D8" t="s">
        <v>113</v>
      </c>
      <c r="E8" t="s">
        <v>114</v>
      </c>
      <c r="F8" t="s">
        <v>115</v>
      </c>
      <c r="G8" t="s">
        <v>30</v>
      </c>
      <c r="H8" t="s">
        <v>116</v>
      </c>
      <c r="I8" t="s">
        <v>117</v>
      </c>
      <c r="J8" t="s">
        <v>118</v>
      </c>
      <c r="K8" t="s">
        <v>74</v>
      </c>
      <c r="L8" s="1">
        <v>46273</v>
      </c>
      <c r="M8" t="s">
        <v>97</v>
      </c>
      <c r="N8">
        <v>2319136</v>
      </c>
      <c r="O8" t="s">
        <v>38</v>
      </c>
      <c r="P8" t="s">
        <v>57</v>
      </c>
      <c r="Q8">
        <v>132</v>
      </c>
      <c r="R8" t="s">
        <v>34</v>
      </c>
      <c r="S8" t="s">
        <v>119</v>
      </c>
      <c r="T8">
        <v>86</v>
      </c>
      <c r="U8" t="s">
        <v>120</v>
      </c>
      <c r="V8" t="s">
        <v>35</v>
      </c>
      <c r="W8" t="s">
        <v>121</v>
      </c>
      <c r="X8" t="s">
        <v>122</v>
      </c>
      <c r="Y8" t="s">
        <v>123</v>
      </c>
      <c r="Z8" t="s">
        <v>124</v>
      </c>
    </row>
    <row r="9" spans="1:26" x14ac:dyDescent="0.2">
      <c r="A9">
        <v>8</v>
      </c>
      <c r="B9" t="s">
        <v>125</v>
      </c>
      <c r="C9">
        <v>1931</v>
      </c>
      <c r="D9" t="s">
        <v>126</v>
      </c>
      <c r="E9" t="s">
        <v>127</v>
      </c>
      <c r="F9" t="s">
        <v>128</v>
      </c>
      <c r="G9" t="s">
        <v>30</v>
      </c>
      <c r="H9" t="s">
        <v>129</v>
      </c>
      <c r="I9" t="s">
        <v>130</v>
      </c>
      <c r="J9" t="s">
        <v>131</v>
      </c>
      <c r="K9" t="s">
        <v>74</v>
      </c>
      <c r="L9" s="1">
        <v>46150</v>
      </c>
      <c r="M9" t="s">
        <v>107</v>
      </c>
      <c r="N9">
        <v>205619</v>
      </c>
      <c r="O9" t="s">
        <v>132</v>
      </c>
      <c r="P9" t="s">
        <v>57</v>
      </c>
      <c r="Q9">
        <v>52</v>
      </c>
      <c r="R9" t="s">
        <v>35</v>
      </c>
      <c r="S9" t="s">
        <v>133</v>
      </c>
      <c r="T9">
        <v>86</v>
      </c>
      <c r="U9" t="s">
        <v>134</v>
      </c>
      <c r="V9" t="s">
        <v>35</v>
      </c>
      <c r="W9" t="s">
        <v>135</v>
      </c>
      <c r="X9" t="s">
        <v>136</v>
      </c>
      <c r="Y9" t="s">
        <v>137</v>
      </c>
      <c r="Z9" t="s">
        <v>138</v>
      </c>
    </row>
    <row r="10" spans="1:26" x14ac:dyDescent="0.2">
      <c r="A10">
        <v>9</v>
      </c>
      <c r="B10" t="s">
        <v>139</v>
      </c>
      <c r="C10">
        <v>2001</v>
      </c>
      <c r="D10" t="s">
        <v>140</v>
      </c>
      <c r="E10" t="s">
        <v>141</v>
      </c>
      <c r="F10" t="s">
        <v>142</v>
      </c>
      <c r="G10" t="s">
        <v>50</v>
      </c>
      <c r="H10" t="s">
        <v>143</v>
      </c>
      <c r="I10" t="s">
        <v>144</v>
      </c>
      <c r="J10" t="s">
        <v>145</v>
      </c>
      <c r="K10" t="s">
        <v>41</v>
      </c>
      <c r="L10" s="1">
        <v>46181</v>
      </c>
      <c r="M10" t="s">
        <v>54</v>
      </c>
      <c r="N10">
        <v>901217</v>
      </c>
      <c r="O10" t="s">
        <v>37</v>
      </c>
      <c r="P10" t="s">
        <v>97</v>
      </c>
      <c r="Q10">
        <v>134</v>
      </c>
      <c r="R10" t="s">
        <v>34</v>
      </c>
      <c r="S10" t="s">
        <v>146</v>
      </c>
      <c r="T10">
        <v>88</v>
      </c>
      <c r="U10" t="s">
        <v>147</v>
      </c>
      <c r="V10" t="s">
        <v>38</v>
      </c>
      <c r="W10" t="s">
        <v>135</v>
      </c>
      <c r="X10" t="s">
        <v>148</v>
      </c>
      <c r="Y10" t="s">
        <v>149</v>
      </c>
      <c r="Z10" t="s">
        <v>150</v>
      </c>
    </row>
    <row r="11" spans="1:26" x14ac:dyDescent="0.2">
      <c r="A11">
        <v>10</v>
      </c>
      <c r="B11" t="s">
        <v>151</v>
      </c>
      <c r="C11">
        <v>2019</v>
      </c>
      <c r="D11" t="s">
        <v>152</v>
      </c>
      <c r="E11" t="s">
        <v>153</v>
      </c>
      <c r="F11" t="s">
        <v>154</v>
      </c>
      <c r="G11" t="s">
        <v>155</v>
      </c>
      <c r="H11" t="s">
        <v>156</v>
      </c>
      <c r="K11" t="s">
        <v>74</v>
      </c>
      <c r="L11" s="1">
        <v>46150</v>
      </c>
      <c r="M11" t="s">
        <v>107</v>
      </c>
      <c r="N11">
        <v>1050592</v>
      </c>
      <c r="O11" t="s">
        <v>56</v>
      </c>
      <c r="P11" t="s">
        <v>38</v>
      </c>
      <c r="Q11">
        <v>314</v>
      </c>
      <c r="R11" t="s">
        <v>157</v>
      </c>
      <c r="S11" t="s">
        <v>158</v>
      </c>
      <c r="T11">
        <v>90</v>
      </c>
      <c r="U11" t="s">
        <v>159</v>
      </c>
      <c r="V11" t="s">
        <v>41</v>
      </c>
      <c r="W11" t="s">
        <v>75</v>
      </c>
      <c r="X11" t="s">
        <v>160</v>
      </c>
      <c r="Y11" t="s">
        <v>161</v>
      </c>
      <c r="Z11" t="s">
        <v>162</v>
      </c>
    </row>
    <row r="12" spans="1:26" x14ac:dyDescent="0.2">
      <c r="A12">
        <v>11</v>
      </c>
      <c r="B12" t="s">
        <v>163</v>
      </c>
      <c r="C12">
        <v>1936</v>
      </c>
      <c r="D12" t="s">
        <v>126</v>
      </c>
      <c r="E12" t="s">
        <v>127</v>
      </c>
      <c r="F12" t="s">
        <v>164</v>
      </c>
      <c r="G12" t="s">
        <v>30</v>
      </c>
      <c r="H12" t="s">
        <v>165</v>
      </c>
      <c r="I12" t="s">
        <v>166</v>
      </c>
      <c r="J12" t="s">
        <v>167</v>
      </c>
      <c r="K12" t="s">
        <v>41</v>
      </c>
      <c r="L12" s="1">
        <v>46150</v>
      </c>
      <c r="M12" t="s">
        <v>107</v>
      </c>
      <c r="N12">
        <v>271086</v>
      </c>
      <c r="O12" t="s">
        <v>37</v>
      </c>
      <c r="P12" t="s">
        <v>38</v>
      </c>
      <c r="Q12">
        <v>72</v>
      </c>
      <c r="R12" t="s">
        <v>35</v>
      </c>
      <c r="S12" t="s">
        <v>168</v>
      </c>
      <c r="T12">
        <v>86</v>
      </c>
      <c r="U12" t="s">
        <v>169</v>
      </c>
      <c r="V12" t="s">
        <v>41</v>
      </c>
      <c r="W12" t="s">
        <v>170</v>
      </c>
      <c r="Y12" t="s">
        <v>171</v>
      </c>
      <c r="Z12" t="s">
        <v>172</v>
      </c>
    </row>
    <row r="13" spans="1:26" x14ac:dyDescent="0.2">
      <c r="A13">
        <v>12</v>
      </c>
      <c r="B13" t="s">
        <v>173</v>
      </c>
      <c r="C13">
        <v>1990</v>
      </c>
      <c r="D13" t="s">
        <v>27</v>
      </c>
      <c r="E13" t="s">
        <v>174</v>
      </c>
      <c r="F13" t="s">
        <v>175</v>
      </c>
      <c r="G13" t="s">
        <v>30</v>
      </c>
      <c r="H13" t="s">
        <v>176</v>
      </c>
      <c r="I13" t="s">
        <v>177</v>
      </c>
      <c r="J13" t="s">
        <v>178</v>
      </c>
      <c r="K13" t="s">
        <v>41</v>
      </c>
      <c r="L13" s="1">
        <v>46211</v>
      </c>
      <c r="M13" t="s">
        <v>179</v>
      </c>
      <c r="N13">
        <v>1315490</v>
      </c>
      <c r="O13" t="s">
        <v>35</v>
      </c>
      <c r="P13" t="s">
        <v>74</v>
      </c>
      <c r="Q13">
        <v>95</v>
      </c>
      <c r="R13" t="s">
        <v>57</v>
      </c>
      <c r="S13" t="s">
        <v>180</v>
      </c>
      <c r="T13">
        <v>90</v>
      </c>
      <c r="U13" t="s">
        <v>181</v>
      </c>
      <c r="V13" t="s">
        <v>97</v>
      </c>
      <c r="W13" t="s">
        <v>170</v>
      </c>
      <c r="X13" t="s">
        <v>182</v>
      </c>
      <c r="Y13" t="s">
        <v>183</v>
      </c>
      <c r="Z13" t="s">
        <v>184</v>
      </c>
    </row>
    <row r="14" spans="1:26" x14ac:dyDescent="0.2">
      <c r="A14">
        <v>13</v>
      </c>
      <c r="B14" t="s">
        <v>185</v>
      </c>
      <c r="C14">
        <v>1966</v>
      </c>
      <c r="D14" t="s">
        <v>186</v>
      </c>
      <c r="E14" t="s">
        <v>187</v>
      </c>
      <c r="F14" t="s">
        <v>188</v>
      </c>
      <c r="G14" t="s">
        <v>189</v>
      </c>
      <c r="H14" t="s">
        <v>190</v>
      </c>
      <c r="I14" t="s">
        <v>191</v>
      </c>
      <c r="J14" t="s">
        <v>167</v>
      </c>
      <c r="K14" t="s">
        <v>97</v>
      </c>
      <c r="L14" s="1">
        <v>46242</v>
      </c>
      <c r="M14" t="s">
        <v>157</v>
      </c>
      <c r="N14">
        <v>847249</v>
      </c>
      <c r="O14" t="s">
        <v>41</v>
      </c>
      <c r="P14" t="s">
        <v>97</v>
      </c>
      <c r="Q14">
        <v>58</v>
      </c>
      <c r="R14" t="s">
        <v>57</v>
      </c>
      <c r="S14" t="s">
        <v>192</v>
      </c>
      <c r="T14">
        <v>90</v>
      </c>
      <c r="U14" t="s">
        <v>193</v>
      </c>
      <c r="V14" t="s">
        <v>74</v>
      </c>
      <c r="W14" t="s">
        <v>75</v>
      </c>
      <c r="X14" t="s">
        <v>194</v>
      </c>
      <c r="Y14" t="s">
        <v>195</v>
      </c>
      <c r="Z14" t="s">
        <v>196</v>
      </c>
    </row>
    <row r="15" spans="1:26" x14ac:dyDescent="0.2">
      <c r="A15">
        <v>14</v>
      </c>
      <c r="B15" t="s">
        <v>197</v>
      </c>
      <c r="C15">
        <v>1964</v>
      </c>
      <c r="D15" t="s">
        <v>198</v>
      </c>
      <c r="E15" t="s">
        <v>199</v>
      </c>
      <c r="F15" t="s">
        <v>200</v>
      </c>
      <c r="G15" t="s">
        <v>30</v>
      </c>
      <c r="H15" t="s">
        <v>201</v>
      </c>
      <c r="I15" t="s">
        <v>202</v>
      </c>
      <c r="J15" t="s">
        <v>203</v>
      </c>
      <c r="K15" t="s">
        <v>41</v>
      </c>
      <c r="L15" s="1">
        <v>46089</v>
      </c>
      <c r="M15" t="s">
        <v>204</v>
      </c>
      <c r="N15">
        <v>535648</v>
      </c>
      <c r="O15" t="s">
        <v>56</v>
      </c>
      <c r="P15" t="s">
        <v>34</v>
      </c>
      <c r="Q15">
        <v>87</v>
      </c>
      <c r="R15" t="s">
        <v>41</v>
      </c>
      <c r="S15" t="s">
        <v>205</v>
      </c>
      <c r="T15">
        <v>86</v>
      </c>
      <c r="U15" t="s">
        <v>206</v>
      </c>
      <c r="V15" t="s">
        <v>35</v>
      </c>
      <c r="W15" t="s">
        <v>75</v>
      </c>
      <c r="X15" t="s">
        <v>207</v>
      </c>
      <c r="Y15" t="s">
        <v>208</v>
      </c>
      <c r="Z15" t="s">
        <v>209</v>
      </c>
    </row>
    <row r="16" spans="1:26" x14ac:dyDescent="0.2">
      <c r="A16">
        <v>15</v>
      </c>
      <c r="B16" t="s">
        <v>210</v>
      </c>
      <c r="C16">
        <v>1942</v>
      </c>
      <c r="D16" t="s">
        <v>211</v>
      </c>
      <c r="E16" t="s">
        <v>212</v>
      </c>
      <c r="F16" t="s">
        <v>213</v>
      </c>
      <c r="G16" t="s">
        <v>30</v>
      </c>
      <c r="H16" t="s">
        <v>214</v>
      </c>
      <c r="I16" t="s">
        <v>215</v>
      </c>
      <c r="J16" t="s">
        <v>216</v>
      </c>
      <c r="K16" t="s">
        <v>41</v>
      </c>
      <c r="L16" s="1">
        <v>46150</v>
      </c>
      <c r="M16" t="s">
        <v>107</v>
      </c>
      <c r="N16">
        <v>628003</v>
      </c>
      <c r="O16" t="s">
        <v>36</v>
      </c>
      <c r="P16" t="s">
        <v>37</v>
      </c>
      <c r="Q16">
        <v>96</v>
      </c>
      <c r="R16" t="s">
        <v>74</v>
      </c>
      <c r="S16" t="s">
        <v>217</v>
      </c>
      <c r="T16">
        <v>86</v>
      </c>
      <c r="U16" t="s">
        <v>218</v>
      </c>
      <c r="V16" t="s">
        <v>204</v>
      </c>
      <c r="W16" t="s">
        <v>60</v>
      </c>
      <c r="X16" t="s">
        <v>219</v>
      </c>
      <c r="Y16" t="s">
        <v>220</v>
      </c>
      <c r="Z16" t="s">
        <v>209</v>
      </c>
    </row>
    <row r="17" spans="1:26" x14ac:dyDescent="0.2">
      <c r="A17">
        <v>16</v>
      </c>
      <c r="B17" t="s">
        <v>221</v>
      </c>
      <c r="C17">
        <v>1966</v>
      </c>
      <c r="D17" t="s">
        <v>222</v>
      </c>
      <c r="E17" t="s">
        <v>223</v>
      </c>
      <c r="F17" t="s">
        <v>224</v>
      </c>
      <c r="G17" t="s">
        <v>189</v>
      </c>
      <c r="H17" t="s">
        <v>225</v>
      </c>
      <c r="I17" t="s">
        <v>226</v>
      </c>
      <c r="J17" t="s">
        <v>227</v>
      </c>
      <c r="K17" t="s">
        <v>41</v>
      </c>
      <c r="L17" s="1">
        <v>46030</v>
      </c>
      <c r="M17" t="s">
        <v>228</v>
      </c>
      <c r="N17">
        <v>70309</v>
      </c>
      <c r="O17" t="s">
        <v>37</v>
      </c>
      <c r="P17" t="s">
        <v>35</v>
      </c>
      <c r="Q17">
        <v>67</v>
      </c>
      <c r="R17" t="s">
        <v>74</v>
      </c>
      <c r="S17" t="s">
        <v>229</v>
      </c>
      <c r="T17">
        <v>88</v>
      </c>
      <c r="U17" t="s">
        <v>230</v>
      </c>
      <c r="V17" t="s">
        <v>35</v>
      </c>
      <c r="W17" t="s">
        <v>135</v>
      </c>
      <c r="X17" t="s">
        <v>231</v>
      </c>
      <c r="Y17" t="s">
        <v>232</v>
      </c>
      <c r="Z17" t="s">
        <v>41</v>
      </c>
    </row>
    <row r="18" spans="1:26" x14ac:dyDescent="0.2">
      <c r="A18">
        <v>17</v>
      </c>
      <c r="B18" t="s">
        <v>233</v>
      </c>
      <c r="C18">
        <v>1952</v>
      </c>
      <c r="D18" t="s">
        <v>234</v>
      </c>
      <c r="E18" t="s">
        <v>235</v>
      </c>
      <c r="F18" t="s">
        <v>236</v>
      </c>
      <c r="G18" t="s">
        <v>30</v>
      </c>
      <c r="H18" t="s">
        <v>237</v>
      </c>
      <c r="I18" t="s">
        <v>238</v>
      </c>
      <c r="J18" t="s">
        <v>239</v>
      </c>
      <c r="K18" t="s">
        <v>41</v>
      </c>
      <c r="L18" s="1">
        <v>46089</v>
      </c>
      <c r="M18" t="s">
        <v>204</v>
      </c>
      <c r="N18">
        <v>270897</v>
      </c>
      <c r="O18" t="s">
        <v>132</v>
      </c>
      <c r="P18" t="s">
        <v>38</v>
      </c>
      <c r="Q18">
        <v>62</v>
      </c>
      <c r="R18" t="s">
        <v>74</v>
      </c>
      <c r="S18" t="s">
        <v>240</v>
      </c>
      <c r="T18">
        <v>86</v>
      </c>
      <c r="U18" t="s">
        <v>241</v>
      </c>
      <c r="V18" t="s">
        <v>54</v>
      </c>
      <c r="W18" t="s">
        <v>60</v>
      </c>
      <c r="X18" t="s">
        <v>242</v>
      </c>
      <c r="Y18" t="s">
        <v>243</v>
      </c>
      <c r="Z18" t="s">
        <v>41</v>
      </c>
    </row>
    <row r="19" spans="1:26" x14ac:dyDescent="0.2">
      <c r="A19">
        <v>18</v>
      </c>
      <c r="B19" t="s">
        <v>244</v>
      </c>
      <c r="C19">
        <v>1959</v>
      </c>
      <c r="D19" t="s">
        <v>245</v>
      </c>
      <c r="E19" t="s">
        <v>246</v>
      </c>
      <c r="F19" t="s">
        <v>247</v>
      </c>
      <c r="G19" t="s">
        <v>30</v>
      </c>
      <c r="H19" t="s">
        <v>248</v>
      </c>
      <c r="I19" t="s">
        <v>249</v>
      </c>
      <c r="J19" t="s">
        <v>167</v>
      </c>
      <c r="K19" t="s">
        <v>97</v>
      </c>
      <c r="L19" s="1">
        <v>46061</v>
      </c>
      <c r="M19" t="s">
        <v>250</v>
      </c>
      <c r="N19">
        <v>293363</v>
      </c>
      <c r="O19" t="s">
        <v>55</v>
      </c>
      <c r="P19" t="s">
        <v>34</v>
      </c>
      <c r="Q19">
        <v>77</v>
      </c>
      <c r="R19" t="s">
        <v>41</v>
      </c>
      <c r="S19" t="s">
        <v>251</v>
      </c>
      <c r="T19">
        <v>86</v>
      </c>
      <c r="U19" t="s">
        <v>252</v>
      </c>
      <c r="V19" t="s">
        <v>41</v>
      </c>
      <c r="W19" t="s">
        <v>253</v>
      </c>
      <c r="X19" t="s">
        <v>254</v>
      </c>
      <c r="Y19" t="s">
        <v>255</v>
      </c>
      <c r="Z19" t="s">
        <v>256</v>
      </c>
    </row>
    <row r="20" spans="1:26" x14ac:dyDescent="0.2">
      <c r="A20">
        <v>19</v>
      </c>
      <c r="B20" t="s">
        <v>257</v>
      </c>
      <c r="C20">
        <v>1960</v>
      </c>
      <c r="D20" t="s">
        <v>258</v>
      </c>
      <c r="E20" t="s">
        <v>103</v>
      </c>
      <c r="F20" t="s">
        <v>259</v>
      </c>
      <c r="G20" t="s">
        <v>30</v>
      </c>
      <c r="H20" t="s">
        <v>260</v>
      </c>
      <c r="I20" t="s">
        <v>261</v>
      </c>
      <c r="J20" t="s">
        <v>33</v>
      </c>
      <c r="K20" t="s">
        <v>97</v>
      </c>
      <c r="L20" s="1">
        <v>46150</v>
      </c>
      <c r="M20" t="s">
        <v>107</v>
      </c>
      <c r="N20">
        <v>748078</v>
      </c>
      <c r="O20" t="s">
        <v>56</v>
      </c>
      <c r="P20" t="s">
        <v>57</v>
      </c>
      <c r="Q20">
        <v>97</v>
      </c>
      <c r="R20" t="s">
        <v>35</v>
      </c>
      <c r="S20" t="s">
        <v>262</v>
      </c>
      <c r="T20">
        <v>86</v>
      </c>
      <c r="U20" t="s">
        <v>263</v>
      </c>
      <c r="V20" t="s">
        <v>107</v>
      </c>
      <c r="W20" t="s">
        <v>75</v>
      </c>
      <c r="X20" t="s">
        <v>264</v>
      </c>
      <c r="Y20" t="s">
        <v>265</v>
      </c>
      <c r="Z20" t="s">
        <v>256</v>
      </c>
    </row>
    <row r="21" spans="1:26" x14ac:dyDescent="0.2">
      <c r="A21">
        <v>20</v>
      </c>
      <c r="B21" t="s">
        <v>266</v>
      </c>
      <c r="C21">
        <v>1979</v>
      </c>
      <c r="D21" t="s">
        <v>267</v>
      </c>
      <c r="E21" t="s">
        <v>28</v>
      </c>
      <c r="F21" t="s">
        <v>268</v>
      </c>
      <c r="G21" t="s">
        <v>30</v>
      </c>
      <c r="H21" t="s">
        <v>269</v>
      </c>
      <c r="I21" t="s">
        <v>270</v>
      </c>
      <c r="J21" t="s">
        <v>167</v>
      </c>
      <c r="K21" t="s">
        <v>97</v>
      </c>
      <c r="L21" s="1">
        <v>46120</v>
      </c>
      <c r="M21" t="s">
        <v>271</v>
      </c>
      <c r="N21">
        <v>737539</v>
      </c>
      <c r="O21" t="s">
        <v>57</v>
      </c>
      <c r="P21" t="s">
        <v>35</v>
      </c>
      <c r="Q21">
        <v>117</v>
      </c>
      <c r="R21" t="s">
        <v>74</v>
      </c>
      <c r="S21" t="s">
        <v>272</v>
      </c>
      <c r="T21">
        <v>88</v>
      </c>
      <c r="U21" t="s">
        <v>273</v>
      </c>
      <c r="V21" t="s">
        <v>97</v>
      </c>
      <c r="W21" t="s">
        <v>75</v>
      </c>
      <c r="X21" t="s">
        <v>274</v>
      </c>
      <c r="Y21" t="s">
        <v>275</v>
      </c>
      <c r="Z21" t="s">
        <v>276</v>
      </c>
    </row>
    <row r="22" spans="1:26" x14ac:dyDescent="0.2">
      <c r="A22">
        <v>21</v>
      </c>
      <c r="B22" t="s">
        <v>277</v>
      </c>
      <c r="C22">
        <v>1944</v>
      </c>
      <c r="D22" t="s">
        <v>278</v>
      </c>
      <c r="E22" t="s">
        <v>246</v>
      </c>
      <c r="F22" t="s">
        <v>279</v>
      </c>
      <c r="G22" t="s">
        <v>30</v>
      </c>
      <c r="H22" t="s">
        <v>280</v>
      </c>
      <c r="I22" t="s">
        <v>281</v>
      </c>
      <c r="J22" t="s">
        <v>33</v>
      </c>
      <c r="K22" t="s">
        <v>97</v>
      </c>
      <c r="L22" s="1">
        <v>46089</v>
      </c>
      <c r="M22" t="s">
        <v>204</v>
      </c>
      <c r="N22">
        <v>173790</v>
      </c>
      <c r="O22" t="s">
        <v>38</v>
      </c>
      <c r="P22" t="s">
        <v>34</v>
      </c>
      <c r="Q22">
        <v>72</v>
      </c>
      <c r="R22" t="s">
        <v>74</v>
      </c>
      <c r="S22" t="s">
        <v>282</v>
      </c>
      <c r="T22">
        <v>86</v>
      </c>
      <c r="U22" t="s">
        <v>283</v>
      </c>
      <c r="V22" t="s">
        <v>97</v>
      </c>
      <c r="W22" t="s">
        <v>253</v>
      </c>
      <c r="X22" t="s">
        <v>284</v>
      </c>
      <c r="Y22" t="s">
        <v>285</v>
      </c>
      <c r="Z22" t="s">
        <v>286</v>
      </c>
    </row>
    <row r="23" spans="1:26" x14ac:dyDescent="0.2">
      <c r="A23">
        <v>22</v>
      </c>
      <c r="B23" t="s">
        <v>287</v>
      </c>
      <c r="C23">
        <v>1950</v>
      </c>
      <c r="D23" t="s">
        <v>288</v>
      </c>
      <c r="E23" t="s">
        <v>48</v>
      </c>
      <c r="F23" t="s">
        <v>289</v>
      </c>
      <c r="G23" t="s">
        <v>50</v>
      </c>
      <c r="H23" t="s">
        <v>290</v>
      </c>
      <c r="K23" t="s">
        <v>97</v>
      </c>
      <c r="L23" s="1">
        <v>46061</v>
      </c>
      <c r="M23" t="s">
        <v>250</v>
      </c>
      <c r="N23">
        <v>188349</v>
      </c>
      <c r="O23" t="s">
        <v>55</v>
      </c>
      <c r="P23" t="s">
        <v>57</v>
      </c>
      <c r="Q23">
        <v>52</v>
      </c>
      <c r="R23" t="s">
        <v>41</v>
      </c>
      <c r="S23" t="s">
        <v>291</v>
      </c>
      <c r="T23">
        <v>84</v>
      </c>
      <c r="U23" t="s">
        <v>292</v>
      </c>
      <c r="V23" t="s">
        <v>157</v>
      </c>
      <c r="W23" t="s">
        <v>135</v>
      </c>
      <c r="X23" t="s">
        <v>293</v>
      </c>
      <c r="Y23" t="s">
        <v>294</v>
      </c>
      <c r="Z23" t="s">
        <v>295</v>
      </c>
    </row>
    <row r="24" spans="1:26" x14ac:dyDescent="0.2">
      <c r="A24">
        <v>23</v>
      </c>
      <c r="B24" t="s">
        <v>296</v>
      </c>
      <c r="C24">
        <v>1962</v>
      </c>
      <c r="D24" t="s">
        <v>297</v>
      </c>
      <c r="E24" t="s">
        <v>298</v>
      </c>
      <c r="F24" t="s">
        <v>299</v>
      </c>
      <c r="G24" t="s">
        <v>30</v>
      </c>
      <c r="H24" t="s">
        <v>300</v>
      </c>
      <c r="I24" t="s">
        <v>301</v>
      </c>
      <c r="J24" t="s">
        <v>53</v>
      </c>
      <c r="K24" t="s">
        <v>97</v>
      </c>
      <c r="L24" s="1">
        <v>46089</v>
      </c>
      <c r="M24" t="s">
        <v>204</v>
      </c>
      <c r="N24">
        <v>327276</v>
      </c>
      <c r="O24" t="s">
        <v>36</v>
      </c>
      <c r="P24" t="s">
        <v>37</v>
      </c>
      <c r="Q24">
        <v>82</v>
      </c>
      <c r="R24" t="s">
        <v>97</v>
      </c>
      <c r="S24" t="s">
        <v>302</v>
      </c>
      <c r="T24">
        <v>88</v>
      </c>
      <c r="U24" t="s">
        <v>303</v>
      </c>
      <c r="V24" t="s">
        <v>304</v>
      </c>
      <c r="W24" t="s">
        <v>75</v>
      </c>
      <c r="X24" t="s">
        <v>305</v>
      </c>
      <c r="Y24" t="s">
        <v>306</v>
      </c>
      <c r="Z24" t="s">
        <v>295</v>
      </c>
    </row>
    <row r="25" spans="1:26" x14ac:dyDescent="0.2">
      <c r="A25">
        <v>24</v>
      </c>
      <c r="B25" t="s">
        <v>307</v>
      </c>
      <c r="C25">
        <v>1950</v>
      </c>
      <c r="D25" t="s">
        <v>65</v>
      </c>
      <c r="E25" t="s">
        <v>308</v>
      </c>
      <c r="F25" t="s">
        <v>309</v>
      </c>
      <c r="G25" t="s">
        <v>30</v>
      </c>
      <c r="H25" t="s">
        <v>310</v>
      </c>
      <c r="I25" t="s">
        <v>311</v>
      </c>
      <c r="J25" t="s">
        <v>312</v>
      </c>
      <c r="K25" t="s">
        <v>97</v>
      </c>
      <c r="L25" s="1">
        <v>46061</v>
      </c>
      <c r="M25" t="s">
        <v>250</v>
      </c>
      <c r="N25">
        <v>143727</v>
      </c>
      <c r="O25" t="s">
        <v>55</v>
      </c>
      <c r="P25" t="s">
        <v>38</v>
      </c>
      <c r="Q25">
        <v>73</v>
      </c>
      <c r="R25" t="s">
        <v>41</v>
      </c>
      <c r="S25" t="s">
        <v>313</v>
      </c>
      <c r="T25">
        <v>88</v>
      </c>
      <c r="U25" t="s">
        <v>314</v>
      </c>
      <c r="V25" t="s">
        <v>204</v>
      </c>
      <c r="W25" t="s">
        <v>75</v>
      </c>
      <c r="X25" t="s">
        <v>315</v>
      </c>
      <c r="Y25" t="s">
        <v>316</v>
      </c>
      <c r="Z25" t="s">
        <v>295</v>
      </c>
    </row>
    <row r="26" spans="1:26" x14ac:dyDescent="0.2">
      <c r="A26">
        <v>25</v>
      </c>
      <c r="B26" t="s">
        <v>317</v>
      </c>
      <c r="C26">
        <v>2019</v>
      </c>
      <c r="D26" t="s">
        <v>318</v>
      </c>
      <c r="E26" t="s">
        <v>319</v>
      </c>
      <c r="F26" t="s">
        <v>320</v>
      </c>
      <c r="G26" t="s">
        <v>321</v>
      </c>
      <c r="H26" t="s">
        <v>322</v>
      </c>
      <c r="K26" t="s">
        <v>97</v>
      </c>
      <c r="L26" s="1">
        <v>46030</v>
      </c>
      <c r="M26" t="s">
        <v>228</v>
      </c>
      <c r="N26">
        <v>117917</v>
      </c>
      <c r="O26" t="s">
        <v>38</v>
      </c>
      <c r="P26" t="s">
        <v>74</v>
      </c>
      <c r="Q26">
        <v>197</v>
      </c>
      <c r="R26" t="s">
        <v>97</v>
      </c>
      <c r="S26" t="s">
        <v>323</v>
      </c>
      <c r="T26">
        <v>88</v>
      </c>
      <c r="U26" t="s">
        <v>324</v>
      </c>
      <c r="V26" t="s">
        <v>74</v>
      </c>
      <c r="W26" t="s">
        <v>325</v>
      </c>
      <c r="X26" t="s">
        <v>326</v>
      </c>
      <c r="Y26" t="s">
        <v>327</v>
      </c>
      <c r="Z26" t="s">
        <v>328</v>
      </c>
    </row>
    <row r="27" spans="1:26" x14ac:dyDescent="0.2">
      <c r="A27">
        <v>26</v>
      </c>
      <c r="B27" t="s">
        <v>329</v>
      </c>
      <c r="C27">
        <v>2011</v>
      </c>
      <c r="D27" t="s">
        <v>65</v>
      </c>
      <c r="E27" t="s">
        <v>330</v>
      </c>
      <c r="F27" t="s">
        <v>331</v>
      </c>
      <c r="G27" t="s">
        <v>332</v>
      </c>
      <c r="H27" t="s">
        <v>333</v>
      </c>
      <c r="I27" t="s">
        <v>334</v>
      </c>
      <c r="J27" t="s">
        <v>335</v>
      </c>
      <c r="K27" t="s">
        <v>97</v>
      </c>
      <c r="L27" s="1">
        <v>46089</v>
      </c>
      <c r="M27" t="s">
        <v>204</v>
      </c>
      <c r="N27">
        <v>267944</v>
      </c>
      <c r="O27" t="s">
        <v>38</v>
      </c>
      <c r="P27" t="s">
        <v>74</v>
      </c>
      <c r="Q27">
        <v>117</v>
      </c>
      <c r="R27" t="s">
        <v>157</v>
      </c>
      <c r="S27" t="s">
        <v>336</v>
      </c>
      <c r="T27">
        <v>88</v>
      </c>
      <c r="U27" t="s">
        <v>337</v>
      </c>
      <c r="V27" t="s">
        <v>97</v>
      </c>
      <c r="W27" t="s">
        <v>75</v>
      </c>
      <c r="X27" t="s">
        <v>338</v>
      </c>
      <c r="Y27" t="s">
        <v>339</v>
      </c>
      <c r="Z27" t="s">
        <v>97</v>
      </c>
    </row>
    <row r="28" spans="1:26" x14ac:dyDescent="0.2">
      <c r="A28">
        <v>27</v>
      </c>
      <c r="B28" t="s">
        <v>340</v>
      </c>
      <c r="C28">
        <v>2025</v>
      </c>
      <c r="D28" t="s">
        <v>341</v>
      </c>
      <c r="E28" t="s">
        <v>342</v>
      </c>
      <c r="F28" t="s">
        <v>343</v>
      </c>
      <c r="G28" t="s">
        <v>30</v>
      </c>
      <c r="H28" t="s">
        <v>344</v>
      </c>
      <c r="K28" t="s">
        <v>97</v>
      </c>
      <c r="L28" s="1">
        <v>46061</v>
      </c>
      <c r="M28" t="s">
        <v>250</v>
      </c>
      <c r="N28">
        <v>115333</v>
      </c>
      <c r="O28" t="s">
        <v>38</v>
      </c>
      <c r="P28" t="s">
        <v>74</v>
      </c>
      <c r="Q28">
        <v>211</v>
      </c>
      <c r="T28">
        <v>88</v>
      </c>
      <c r="X28" t="s">
        <v>345</v>
      </c>
      <c r="Y28" t="s">
        <v>346</v>
      </c>
      <c r="Z28" t="s">
        <v>97</v>
      </c>
    </row>
    <row r="29" spans="1:26" x14ac:dyDescent="0.2">
      <c r="A29">
        <v>28</v>
      </c>
      <c r="B29" t="s">
        <v>347</v>
      </c>
      <c r="C29">
        <v>2003</v>
      </c>
      <c r="D29" t="s">
        <v>348</v>
      </c>
      <c r="E29" t="s">
        <v>349</v>
      </c>
      <c r="F29" t="s">
        <v>350</v>
      </c>
      <c r="G29" t="s">
        <v>30</v>
      </c>
      <c r="H29" t="s">
        <v>351</v>
      </c>
      <c r="I29" t="s">
        <v>352</v>
      </c>
      <c r="J29" t="s">
        <v>353</v>
      </c>
      <c r="K29" t="s">
        <v>97</v>
      </c>
      <c r="L29" t="s">
        <v>71</v>
      </c>
      <c r="M29" t="s">
        <v>41</v>
      </c>
      <c r="N29">
        <v>2064721</v>
      </c>
      <c r="O29" t="s">
        <v>57</v>
      </c>
      <c r="P29" t="s">
        <v>97</v>
      </c>
      <c r="Q29">
        <v>172</v>
      </c>
      <c r="R29" t="s">
        <v>107</v>
      </c>
      <c r="S29" t="s">
        <v>354</v>
      </c>
      <c r="T29">
        <v>90</v>
      </c>
      <c r="U29" t="s">
        <v>355</v>
      </c>
      <c r="V29" t="s">
        <v>107</v>
      </c>
      <c r="W29" t="s">
        <v>60</v>
      </c>
      <c r="X29" t="s">
        <v>356</v>
      </c>
      <c r="Y29" t="s">
        <v>357</v>
      </c>
      <c r="Z29" t="s">
        <v>358</v>
      </c>
    </row>
    <row r="30" spans="1:26" x14ac:dyDescent="0.2">
      <c r="A30">
        <v>29</v>
      </c>
      <c r="B30" t="s">
        <v>359</v>
      </c>
      <c r="C30">
        <v>1941</v>
      </c>
      <c r="D30" t="s">
        <v>360</v>
      </c>
      <c r="E30" t="s">
        <v>361</v>
      </c>
      <c r="F30" t="s">
        <v>362</v>
      </c>
      <c r="G30" t="s">
        <v>30</v>
      </c>
      <c r="H30" t="s">
        <v>363</v>
      </c>
      <c r="I30" t="s">
        <v>364</v>
      </c>
      <c r="J30" t="s">
        <v>365</v>
      </c>
      <c r="K30" t="s">
        <v>97</v>
      </c>
      <c r="L30" s="1">
        <v>46089</v>
      </c>
      <c r="M30" t="s">
        <v>204</v>
      </c>
      <c r="N30">
        <v>478970</v>
      </c>
      <c r="O30" t="s">
        <v>36</v>
      </c>
      <c r="P30" t="s">
        <v>55</v>
      </c>
      <c r="Q30">
        <v>96</v>
      </c>
      <c r="R30" t="s">
        <v>179</v>
      </c>
      <c r="S30" t="s">
        <v>366</v>
      </c>
      <c r="T30">
        <v>84</v>
      </c>
      <c r="U30" t="s">
        <v>367</v>
      </c>
      <c r="V30" t="s">
        <v>228</v>
      </c>
      <c r="W30" t="s">
        <v>135</v>
      </c>
      <c r="X30" t="s">
        <v>368</v>
      </c>
      <c r="Y30" t="s">
        <v>369</v>
      </c>
      <c r="Z30" t="s">
        <v>358</v>
      </c>
    </row>
    <row r="31" spans="1:26" x14ac:dyDescent="0.2">
      <c r="A31">
        <v>30</v>
      </c>
      <c r="B31" t="s">
        <v>370</v>
      </c>
      <c r="C31">
        <v>1927</v>
      </c>
      <c r="D31" t="s">
        <v>371</v>
      </c>
      <c r="E31" t="s">
        <v>372</v>
      </c>
      <c r="F31" t="s">
        <v>373</v>
      </c>
      <c r="G31" t="s">
        <v>374</v>
      </c>
      <c r="H31" t="s">
        <v>375</v>
      </c>
      <c r="I31" t="s">
        <v>376</v>
      </c>
      <c r="J31" t="s">
        <v>33</v>
      </c>
      <c r="K31" t="s">
        <v>157</v>
      </c>
      <c r="L31" s="1">
        <v>46089</v>
      </c>
      <c r="M31" t="s">
        <v>204</v>
      </c>
      <c r="N31">
        <v>193052</v>
      </c>
      <c r="O31" t="s">
        <v>55</v>
      </c>
      <c r="P31" t="s">
        <v>34</v>
      </c>
      <c r="Q31">
        <v>99</v>
      </c>
      <c r="R31" t="s">
        <v>97</v>
      </c>
      <c r="S31" t="s">
        <v>377</v>
      </c>
      <c r="T31">
        <v>86</v>
      </c>
      <c r="U31" t="s">
        <v>378</v>
      </c>
      <c r="V31" t="s">
        <v>271</v>
      </c>
      <c r="W31" t="s">
        <v>75</v>
      </c>
      <c r="X31" t="s">
        <v>379</v>
      </c>
      <c r="Y31" t="s">
        <v>380</v>
      </c>
      <c r="Z31" t="s">
        <v>358</v>
      </c>
    </row>
    <row r="32" spans="1:26" x14ac:dyDescent="0.2">
      <c r="A32">
        <v>31</v>
      </c>
      <c r="B32" t="s">
        <v>381</v>
      </c>
      <c r="C32">
        <v>1946</v>
      </c>
      <c r="D32" t="s">
        <v>382</v>
      </c>
      <c r="E32" t="s">
        <v>383</v>
      </c>
      <c r="F32" t="s">
        <v>384</v>
      </c>
      <c r="G32" t="s">
        <v>30</v>
      </c>
      <c r="H32" t="s">
        <v>385</v>
      </c>
      <c r="I32" t="s">
        <v>386</v>
      </c>
      <c r="J32" t="s">
        <v>387</v>
      </c>
      <c r="K32" t="s">
        <v>157</v>
      </c>
      <c r="L32" s="1">
        <v>46181</v>
      </c>
      <c r="M32" t="s">
        <v>54</v>
      </c>
      <c r="N32">
        <v>524890</v>
      </c>
      <c r="O32" t="s">
        <v>97</v>
      </c>
      <c r="P32" t="s">
        <v>41</v>
      </c>
      <c r="Q32">
        <v>75</v>
      </c>
      <c r="R32" t="s">
        <v>35</v>
      </c>
      <c r="S32" t="s">
        <v>388</v>
      </c>
      <c r="T32">
        <v>88</v>
      </c>
      <c r="U32" t="s">
        <v>389</v>
      </c>
      <c r="V32" t="s">
        <v>157</v>
      </c>
      <c r="W32" t="s">
        <v>253</v>
      </c>
      <c r="X32" t="s">
        <v>390</v>
      </c>
      <c r="Y32" t="s">
        <v>391</v>
      </c>
      <c r="Z32" t="s">
        <v>358</v>
      </c>
    </row>
    <row r="33" spans="1:26" x14ac:dyDescent="0.2">
      <c r="A33">
        <v>32</v>
      </c>
      <c r="B33" t="s">
        <v>392</v>
      </c>
      <c r="C33">
        <v>1950</v>
      </c>
      <c r="D33" t="s">
        <v>65</v>
      </c>
      <c r="E33" t="s">
        <v>246</v>
      </c>
      <c r="F33" t="s">
        <v>393</v>
      </c>
      <c r="G33" t="s">
        <v>30</v>
      </c>
      <c r="H33" t="s">
        <v>394</v>
      </c>
      <c r="I33" t="s">
        <v>395</v>
      </c>
      <c r="J33" t="s">
        <v>33</v>
      </c>
      <c r="K33" t="s">
        <v>157</v>
      </c>
      <c r="L33" s="1">
        <v>46120</v>
      </c>
      <c r="M33" t="s">
        <v>271</v>
      </c>
      <c r="N33">
        <v>247384</v>
      </c>
      <c r="O33" t="s">
        <v>57</v>
      </c>
      <c r="P33" t="s">
        <v>38</v>
      </c>
      <c r="Q33">
        <v>89</v>
      </c>
      <c r="R33" t="s">
        <v>35</v>
      </c>
      <c r="S33" t="s">
        <v>396</v>
      </c>
      <c r="T33">
        <v>88</v>
      </c>
      <c r="U33" t="s">
        <v>397</v>
      </c>
      <c r="V33" t="s">
        <v>304</v>
      </c>
      <c r="W33" t="s">
        <v>75</v>
      </c>
      <c r="X33" t="s">
        <v>398</v>
      </c>
      <c r="Y33" t="s">
        <v>399</v>
      </c>
      <c r="Z33" t="s">
        <v>358</v>
      </c>
    </row>
    <row r="34" spans="1:26" x14ac:dyDescent="0.2">
      <c r="A34">
        <v>33</v>
      </c>
      <c r="B34" t="s">
        <v>400</v>
      </c>
      <c r="C34">
        <v>2001</v>
      </c>
      <c r="D34" t="s">
        <v>348</v>
      </c>
      <c r="E34" t="s">
        <v>349</v>
      </c>
      <c r="F34" t="s">
        <v>350</v>
      </c>
      <c r="G34" t="s">
        <v>30</v>
      </c>
      <c r="H34" t="s">
        <v>401</v>
      </c>
      <c r="I34" t="s">
        <v>402</v>
      </c>
      <c r="J34" t="s">
        <v>353</v>
      </c>
      <c r="K34" t="s">
        <v>179</v>
      </c>
      <c r="L34" s="1">
        <v>46273</v>
      </c>
      <c r="M34" t="s">
        <v>97</v>
      </c>
      <c r="N34">
        <v>2094033</v>
      </c>
      <c r="O34" t="s">
        <v>35</v>
      </c>
      <c r="P34" t="s">
        <v>107</v>
      </c>
      <c r="Q34">
        <v>142</v>
      </c>
      <c r="R34" t="s">
        <v>35</v>
      </c>
      <c r="S34" t="s">
        <v>403</v>
      </c>
      <c r="T34">
        <v>88</v>
      </c>
      <c r="U34" t="s">
        <v>404</v>
      </c>
      <c r="V34" t="s">
        <v>54</v>
      </c>
      <c r="W34" t="s">
        <v>60</v>
      </c>
      <c r="X34" t="s">
        <v>405</v>
      </c>
      <c r="Y34" t="s">
        <v>406</v>
      </c>
      <c r="Z34" t="s">
        <v>407</v>
      </c>
    </row>
    <row r="35" spans="1:26" x14ac:dyDescent="0.2">
      <c r="A35">
        <v>34</v>
      </c>
      <c r="B35" t="s">
        <v>408</v>
      </c>
      <c r="C35">
        <v>1959</v>
      </c>
      <c r="D35" t="s">
        <v>409</v>
      </c>
      <c r="E35" t="s">
        <v>103</v>
      </c>
      <c r="F35" t="s">
        <v>410</v>
      </c>
      <c r="G35" t="s">
        <v>30</v>
      </c>
      <c r="H35" t="s">
        <v>411</v>
      </c>
      <c r="I35" t="s">
        <v>412</v>
      </c>
      <c r="J35" t="s">
        <v>413</v>
      </c>
      <c r="K35" t="s">
        <v>157</v>
      </c>
      <c r="L35" s="1">
        <v>46089</v>
      </c>
      <c r="M35" t="s">
        <v>204</v>
      </c>
      <c r="N35">
        <v>358883</v>
      </c>
      <c r="O35" t="s">
        <v>55</v>
      </c>
      <c r="P35" t="s">
        <v>57</v>
      </c>
      <c r="Q35">
        <v>90</v>
      </c>
      <c r="R35" t="s">
        <v>41</v>
      </c>
      <c r="S35" t="s">
        <v>414</v>
      </c>
      <c r="T35">
        <v>84</v>
      </c>
      <c r="U35" t="s">
        <v>415</v>
      </c>
      <c r="V35" t="s">
        <v>204</v>
      </c>
      <c r="W35" t="s">
        <v>135</v>
      </c>
      <c r="X35" t="s">
        <v>416</v>
      </c>
      <c r="Y35" t="s">
        <v>417</v>
      </c>
      <c r="Z35" t="s">
        <v>407</v>
      </c>
    </row>
    <row r="36" spans="1:26" x14ac:dyDescent="0.2">
      <c r="A36">
        <v>35</v>
      </c>
      <c r="B36" t="s">
        <v>418</v>
      </c>
      <c r="C36">
        <v>1960</v>
      </c>
      <c r="D36" t="s">
        <v>126</v>
      </c>
      <c r="E36" t="s">
        <v>246</v>
      </c>
      <c r="F36" t="s">
        <v>419</v>
      </c>
      <c r="G36" t="s">
        <v>30</v>
      </c>
      <c r="H36" t="s">
        <v>420</v>
      </c>
      <c r="I36" t="s">
        <v>421</v>
      </c>
      <c r="J36" t="s">
        <v>167</v>
      </c>
      <c r="K36" t="s">
        <v>157</v>
      </c>
      <c r="L36" s="1">
        <v>46089</v>
      </c>
      <c r="M36" t="s">
        <v>204</v>
      </c>
      <c r="N36">
        <v>207527</v>
      </c>
      <c r="O36" t="s">
        <v>57</v>
      </c>
      <c r="P36" t="s">
        <v>41</v>
      </c>
      <c r="Q36">
        <v>93</v>
      </c>
      <c r="R36" t="s">
        <v>74</v>
      </c>
      <c r="S36" t="s">
        <v>422</v>
      </c>
      <c r="T36">
        <v>88</v>
      </c>
      <c r="U36" t="s">
        <v>423</v>
      </c>
      <c r="V36" t="s">
        <v>54</v>
      </c>
      <c r="W36" t="s">
        <v>75</v>
      </c>
      <c r="X36" t="s">
        <v>424</v>
      </c>
      <c r="Y36" t="s">
        <v>425</v>
      </c>
      <c r="Z36" t="s">
        <v>407</v>
      </c>
    </row>
    <row r="37" spans="1:26" x14ac:dyDescent="0.2">
      <c r="A37">
        <v>36</v>
      </c>
      <c r="B37" t="s">
        <v>426</v>
      </c>
      <c r="C37">
        <v>1975</v>
      </c>
      <c r="D37" t="s">
        <v>65</v>
      </c>
      <c r="E37" t="s">
        <v>427</v>
      </c>
      <c r="F37" t="s">
        <v>428</v>
      </c>
      <c r="G37" t="s">
        <v>30</v>
      </c>
      <c r="H37" t="s">
        <v>429</v>
      </c>
      <c r="I37" t="s">
        <v>430</v>
      </c>
      <c r="J37" t="s">
        <v>167</v>
      </c>
      <c r="K37" t="s">
        <v>157</v>
      </c>
      <c r="L37" s="1">
        <v>46211</v>
      </c>
      <c r="M37" t="s">
        <v>179</v>
      </c>
      <c r="N37">
        <v>1110492</v>
      </c>
      <c r="O37" t="s">
        <v>271</v>
      </c>
      <c r="P37" t="s">
        <v>97</v>
      </c>
      <c r="Q37">
        <v>91</v>
      </c>
      <c r="R37" t="s">
        <v>34</v>
      </c>
      <c r="S37" t="s">
        <v>431</v>
      </c>
      <c r="T37">
        <v>88</v>
      </c>
      <c r="U37" t="s">
        <v>432</v>
      </c>
      <c r="V37" t="s">
        <v>74</v>
      </c>
      <c r="W37" t="s">
        <v>325</v>
      </c>
      <c r="X37" t="s">
        <v>433</v>
      </c>
      <c r="Y37" t="s">
        <v>434</v>
      </c>
      <c r="Z37" t="s">
        <v>407</v>
      </c>
    </row>
    <row r="38" spans="1:26" x14ac:dyDescent="0.2">
      <c r="A38">
        <v>37</v>
      </c>
      <c r="B38" t="s">
        <v>435</v>
      </c>
      <c r="C38">
        <v>1980</v>
      </c>
      <c r="D38" t="s">
        <v>436</v>
      </c>
      <c r="E38" t="s">
        <v>437</v>
      </c>
      <c r="F38" t="s">
        <v>438</v>
      </c>
      <c r="G38" t="s">
        <v>30</v>
      </c>
      <c r="H38" t="s">
        <v>439</v>
      </c>
      <c r="I38" t="s">
        <v>440</v>
      </c>
      <c r="J38" t="s">
        <v>441</v>
      </c>
      <c r="K38" t="s">
        <v>157</v>
      </c>
      <c r="L38" s="1">
        <v>46211</v>
      </c>
      <c r="M38" t="s">
        <v>179</v>
      </c>
      <c r="N38">
        <v>1431491</v>
      </c>
      <c r="O38" t="s">
        <v>250</v>
      </c>
      <c r="P38" t="s">
        <v>157</v>
      </c>
      <c r="Q38">
        <v>81</v>
      </c>
      <c r="R38" t="s">
        <v>34</v>
      </c>
      <c r="S38" t="s">
        <v>442</v>
      </c>
      <c r="T38">
        <v>88</v>
      </c>
      <c r="U38" t="s">
        <v>443</v>
      </c>
      <c r="V38" t="s">
        <v>57</v>
      </c>
      <c r="W38" t="s">
        <v>444</v>
      </c>
      <c r="X38" t="s">
        <v>445</v>
      </c>
      <c r="Y38" t="s">
        <v>446</v>
      </c>
      <c r="Z38" t="s">
        <v>407</v>
      </c>
    </row>
    <row r="39" spans="1:26" x14ac:dyDescent="0.2">
      <c r="A39">
        <v>38</v>
      </c>
      <c r="B39" t="s">
        <v>447</v>
      </c>
      <c r="C39">
        <v>2014</v>
      </c>
      <c r="D39" t="s">
        <v>448</v>
      </c>
      <c r="E39" t="s">
        <v>449</v>
      </c>
      <c r="F39" t="s">
        <v>450</v>
      </c>
      <c r="G39" t="s">
        <v>30</v>
      </c>
      <c r="H39" t="s">
        <v>451</v>
      </c>
      <c r="I39" t="s">
        <v>452</v>
      </c>
      <c r="J39" t="s">
        <v>335</v>
      </c>
      <c r="K39" t="s">
        <v>157</v>
      </c>
      <c r="L39" s="1">
        <v>46150</v>
      </c>
      <c r="M39" t="s">
        <v>107</v>
      </c>
      <c r="N39">
        <v>1063607</v>
      </c>
      <c r="O39" t="s">
        <v>97</v>
      </c>
      <c r="P39" t="s">
        <v>179</v>
      </c>
      <c r="Q39">
        <v>231</v>
      </c>
      <c r="R39" t="s">
        <v>74</v>
      </c>
      <c r="S39" t="s">
        <v>453</v>
      </c>
      <c r="T39">
        <v>88</v>
      </c>
      <c r="U39" t="s">
        <v>454</v>
      </c>
      <c r="V39" t="s">
        <v>35</v>
      </c>
      <c r="W39" t="s">
        <v>75</v>
      </c>
      <c r="X39" t="s">
        <v>455</v>
      </c>
      <c r="Y39" t="s">
        <v>456</v>
      </c>
      <c r="Z39" t="s">
        <v>407</v>
      </c>
    </row>
    <row r="40" spans="1:26" x14ac:dyDescent="0.2">
      <c r="A40">
        <v>39</v>
      </c>
      <c r="B40" t="s">
        <v>457</v>
      </c>
      <c r="C40">
        <v>1958</v>
      </c>
      <c r="D40" t="s">
        <v>458</v>
      </c>
      <c r="E40" t="s">
        <v>103</v>
      </c>
      <c r="F40" t="s">
        <v>459</v>
      </c>
      <c r="G40" t="s">
        <v>30</v>
      </c>
      <c r="H40" t="s">
        <v>460</v>
      </c>
      <c r="I40" t="s">
        <v>461</v>
      </c>
      <c r="J40" t="s">
        <v>33</v>
      </c>
      <c r="K40" t="s">
        <v>157</v>
      </c>
      <c r="L40" s="1">
        <v>46089</v>
      </c>
      <c r="M40" t="s">
        <v>204</v>
      </c>
      <c r="N40">
        <v>442662</v>
      </c>
      <c r="O40" t="s">
        <v>36</v>
      </c>
      <c r="P40" t="s">
        <v>35</v>
      </c>
      <c r="Q40">
        <v>78</v>
      </c>
      <c r="R40" t="s">
        <v>41</v>
      </c>
      <c r="S40" t="s">
        <v>462</v>
      </c>
      <c r="T40">
        <v>84</v>
      </c>
      <c r="U40" t="s">
        <v>463</v>
      </c>
      <c r="V40" t="s">
        <v>204</v>
      </c>
      <c r="W40" t="s">
        <v>75</v>
      </c>
      <c r="X40" t="s">
        <v>464</v>
      </c>
      <c r="Y40" t="s">
        <v>465</v>
      </c>
      <c r="Z40" t="s">
        <v>407</v>
      </c>
    </row>
    <row r="41" spans="1:26" x14ac:dyDescent="0.2">
      <c r="A41">
        <v>40</v>
      </c>
      <c r="B41" t="s">
        <v>466</v>
      </c>
      <c r="C41">
        <v>1948</v>
      </c>
      <c r="D41" t="s">
        <v>65</v>
      </c>
      <c r="E41" t="s">
        <v>467</v>
      </c>
      <c r="F41" t="s">
        <v>468</v>
      </c>
      <c r="G41" t="s">
        <v>189</v>
      </c>
      <c r="H41" t="s">
        <v>469</v>
      </c>
      <c r="I41" t="s">
        <v>470</v>
      </c>
      <c r="J41" t="s">
        <v>471</v>
      </c>
      <c r="K41" t="s">
        <v>179</v>
      </c>
      <c r="L41" s="1">
        <v>46061</v>
      </c>
      <c r="M41" t="s">
        <v>250</v>
      </c>
      <c r="N41">
        <v>184016</v>
      </c>
      <c r="P41" t="s">
        <v>34</v>
      </c>
      <c r="Q41">
        <v>58</v>
      </c>
      <c r="R41" t="s">
        <v>74</v>
      </c>
      <c r="S41" t="s">
        <v>472</v>
      </c>
      <c r="T41">
        <v>86</v>
      </c>
      <c r="U41" t="s">
        <v>473</v>
      </c>
      <c r="V41" t="s">
        <v>74</v>
      </c>
      <c r="W41" t="s">
        <v>135</v>
      </c>
      <c r="X41" t="s">
        <v>474</v>
      </c>
      <c r="Y41" t="s">
        <v>475</v>
      </c>
      <c r="Z41" t="s">
        <v>476</v>
      </c>
    </row>
    <row r="42" spans="1:26" x14ac:dyDescent="0.2">
      <c r="A42">
        <v>41</v>
      </c>
      <c r="B42" t="s">
        <v>477</v>
      </c>
      <c r="C42">
        <v>1985</v>
      </c>
      <c r="D42" t="s">
        <v>478</v>
      </c>
      <c r="E42" t="s">
        <v>48</v>
      </c>
      <c r="F42" t="s">
        <v>479</v>
      </c>
      <c r="G42" t="s">
        <v>50</v>
      </c>
      <c r="H42" t="s">
        <v>480</v>
      </c>
      <c r="I42" t="s">
        <v>481</v>
      </c>
      <c r="J42" t="s">
        <v>227</v>
      </c>
      <c r="K42" t="s">
        <v>157</v>
      </c>
      <c r="L42" s="1">
        <v>46061</v>
      </c>
      <c r="M42" t="s">
        <v>250</v>
      </c>
      <c r="N42">
        <v>142429</v>
      </c>
      <c r="O42" t="s">
        <v>56</v>
      </c>
      <c r="P42" t="s">
        <v>35</v>
      </c>
      <c r="Q42">
        <v>73</v>
      </c>
      <c r="R42" t="s">
        <v>74</v>
      </c>
      <c r="S42" t="s">
        <v>482</v>
      </c>
      <c r="T42">
        <v>90</v>
      </c>
      <c r="U42" t="s">
        <v>483</v>
      </c>
      <c r="V42" t="s">
        <v>484</v>
      </c>
      <c r="W42" t="s">
        <v>75</v>
      </c>
      <c r="X42" t="s">
        <v>485</v>
      </c>
      <c r="Y42" t="s">
        <v>486</v>
      </c>
      <c r="Z42" t="s">
        <v>487</v>
      </c>
    </row>
    <row r="43" spans="1:26" x14ac:dyDescent="0.2">
      <c r="A43">
        <v>42</v>
      </c>
      <c r="B43" t="s">
        <v>488</v>
      </c>
      <c r="C43">
        <v>2006</v>
      </c>
      <c r="D43" t="s">
        <v>489</v>
      </c>
      <c r="E43" t="s">
        <v>490</v>
      </c>
      <c r="F43" t="s">
        <v>491</v>
      </c>
      <c r="G43" t="s">
        <v>492</v>
      </c>
      <c r="H43" t="s">
        <v>493</v>
      </c>
      <c r="I43" t="s">
        <v>494</v>
      </c>
      <c r="J43" t="s">
        <v>495</v>
      </c>
      <c r="K43" t="s">
        <v>157</v>
      </c>
      <c r="L43" s="1">
        <v>46061</v>
      </c>
      <c r="M43" t="s">
        <v>250</v>
      </c>
      <c r="N43">
        <v>721982</v>
      </c>
      <c r="O43" t="s">
        <v>55</v>
      </c>
      <c r="P43" t="s">
        <v>97</v>
      </c>
      <c r="Q43">
        <v>164</v>
      </c>
      <c r="R43" t="s">
        <v>179</v>
      </c>
      <c r="S43" t="s">
        <v>496</v>
      </c>
      <c r="T43">
        <v>84</v>
      </c>
      <c r="U43" t="s">
        <v>497</v>
      </c>
      <c r="V43" t="s">
        <v>74</v>
      </c>
      <c r="W43" t="s">
        <v>75</v>
      </c>
      <c r="X43" t="s">
        <v>498</v>
      </c>
      <c r="Y43" t="s">
        <v>499</v>
      </c>
      <c r="Z43" t="s">
        <v>487</v>
      </c>
    </row>
    <row r="44" spans="1:26" x14ac:dyDescent="0.2">
      <c r="A44">
        <v>43</v>
      </c>
      <c r="B44" t="s">
        <v>500</v>
      </c>
      <c r="C44">
        <v>1949</v>
      </c>
      <c r="D44" t="s">
        <v>102</v>
      </c>
      <c r="E44" t="s">
        <v>501</v>
      </c>
      <c r="F44" t="s">
        <v>502</v>
      </c>
      <c r="G44" t="s">
        <v>30</v>
      </c>
      <c r="H44" t="s">
        <v>503</v>
      </c>
      <c r="I44" t="s">
        <v>504</v>
      </c>
      <c r="J44" t="s">
        <v>227</v>
      </c>
      <c r="K44" t="s">
        <v>157</v>
      </c>
      <c r="L44" s="1">
        <v>46030</v>
      </c>
      <c r="M44" t="s">
        <v>228</v>
      </c>
      <c r="N44">
        <v>188727</v>
      </c>
      <c r="O44" t="s">
        <v>56</v>
      </c>
      <c r="P44" t="s">
        <v>38</v>
      </c>
      <c r="Q44">
        <v>81</v>
      </c>
      <c r="R44" t="s">
        <v>97</v>
      </c>
      <c r="S44" t="s">
        <v>505</v>
      </c>
      <c r="T44">
        <v>86</v>
      </c>
      <c r="U44" t="s">
        <v>506</v>
      </c>
      <c r="V44" t="s">
        <v>204</v>
      </c>
      <c r="W44" t="s">
        <v>253</v>
      </c>
      <c r="X44" t="s">
        <v>507</v>
      </c>
      <c r="Y44" t="s">
        <v>508</v>
      </c>
      <c r="Z44" t="s">
        <v>487</v>
      </c>
    </row>
    <row r="45" spans="1:26" x14ac:dyDescent="0.2">
      <c r="A45">
        <v>44</v>
      </c>
      <c r="B45" t="s">
        <v>509</v>
      </c>
      <c r="C45">
        <v>1977</v>
      </c>
      <c r="D45" t="s">
        <v>436</v>
      </c>
      <c r="E45" t="s">
        <v>510</v>
      </c>
      <c r="F45" t="s">
        <v>511</v>
      </c>
      <c r="G45" t="s">
        <v>30</v>
      </c>
      <c r="H45" t="s">
        <v>512</v>
      </c>
      <c r="I45" t="s">
        <v>513</v>
      </c>
      <c r="J45" t="s">
        <v>312</v>
      </c>
      <c r="K45" t="s">
        <v>157</v>
      </c>
      <c r="L45" s="1">
        <v>46181</v>
      </c>
      <c r="M45" t="s">
        <v>54</v>
      </c>
      <c r="N45">
        <v>1498734</v>
      </c>
      <c r="O45" t="s">
        <v>41</v>
      </c>
      <c r="P45" t="s">
        <v>97</v>
      </c>
      <c r="Q45">
        <v>99</v>
      </c>
      <c r="R45" t="s">
        <v>35</v>
      </c>
      <c r="S45" t="s">
        <v>514</v>
      </c>
      <c r="T45">
        <v>84</v>
      </c>
      <c r="U45" t="s">
        <v>515</v>
      </c>
      <c r="V45" t="s">
        <v>41</v>
      </c>
      <c r="W45" t="s">
        <v>444</v>
      </c>
      <c r="X45" t="s">
        <v>516</v>
      </c>
      <c r="Y45" t="s">
        <v>517</v>
      </c>
      <c r="Z45" t="s">
        <v>487</v>
      </c>
    </row>
    <row r="46" spans="1:26" x14ac:dyDescent="0.2">
      <c r="A46">
        <v>45</v>
      </c>
      <c r="B46" t="s">
        <v>518</v>
      </c>
      <c r="C46">
        <v>2013</v>
      </c>
      <c r="D46" t="s">
        <v>519</v>
      </c>
      <c r="E46" t="s">
        <v>520</v>
      </c>
      <c r="F46" t="s">
        <v>521</v>
      </c>
      <c r="G46" t="s">
        <v>30</v>
      </c>
      <c r="H46" t="s">
        <v>522</v>
      </c>
      <c r="K46" t="s">
        <v>157</v>
      </c>
      <c r="L46" s="1">
        <v>46030</v>
      </c>
      <c r="M46" t="s">
        <v>228</v>
      </c>
      <c r="N46">
        <v>761724</v>
      </c>
      <c r="O46" t="s">
        <v>37</v>
      </c>
      <c r="P46" t="s">
        <v>74</v>
      </c>
      <c r="Q46">
        <v>244</v>
      </c>
      <c r="R46" t="s">
        <v>179</v>
      </c>
      <c r="S46" t="s">
        <v>523</v>
      </c>
      <c r="T46">
        <v>84</v>
      </c>
      <c r="U46" t="s">
        <v>524</v>
      </c>
      <c r="V46" t="s">
        <v>74</v>
      </c>
      <c r="W46" t="s">
        <v>135</v>
      </c>
      <c r="X46" t="s">
        <v>525</v>
      </c>
      <c r="Y46" t="s">
        <v>526</v>
      </c>
      <c r="Z46" t="s">
        <v>527</v>
      </c>
    </row>
    <row r="47" spans="1:26" x14ac:dyDescent="0.2">
      <c r="A47">
        <v>46</v>
      </c>
      <c r="B47" t="s">
        <v>528</v>
      </c>
      <c r="C47">
        <v>1998</v>
      </c>
      <c r="D47" t="s">
        <v>80</v>
      </c>
      <c r="E47" t="s">
        <v>81</v>
      </c>
      <c r="F47" t="s">
        <v>529</v>
      </c>
      <c r="G47" t="s">
        <v>30</v>
      </c>
      <c r="H47" t="s">
        <v>530</v>
      </c>
      <c r="I47" t="s">
        <v>531</v>
      </c>
      <c r="J47" t="s">
        <v>33</v>
      </c>
      <c r="K47" t="s">
        <v>157</v>
      </c>
      <c r="L47" s="1">
        <v>46181</v>
      </c>
      <c r="M47" t="s">
        <v>54</v>
      </c>
      <c r="N47">
        <v>1559687</v>
      </c>
      <c r="O47" t="s">
        <v>74</v>
      </c>
      <c r="P47" t="s">
        <v>179</v>
      </c>
      <c r="Q47">
        <v>91</v>
      </c>
      <c r="R47" t="s">
        <v>74</v>
      </c>
      <c r="S47" t="s">
        <v>532</v>
      </c>
      <c r="T47">
        <v>84</v>
      </c>
      <c r="U47" t="s">
        <v>533</v>
      </c>
      <c r="V47" t="s">
        <v>74</v>
      </c>
      <c r="W47" t="s">
        <v>534</v>
      </c>
      <c r="X47" t="s">
        <v>535</v>
      </c>
      <c r="Y47" t="s">
        <v>536</v>
      </c>
      <c r="Z47" t="s">
        <v>527</v>
      </c>
    </row>
    <row r="48" spans="1:26" x14ac:dyDescent="0.2">
      <c r="A48">
        <v>47</v>
      </c>
      <c r="B48" t="s">
        <v>537</v>
      </c>
      <c r="C48">
        <v>2008</v>
      </c>
      <c r="D48" t="s">
        <v>538</v>
      </c>
      <c r="E48" t="s">
        <v>539</v>
      </c>
      <c r="F48" t="s">
        <v>540</v>
      </c>
      <c r="G48" t="s">
        <v>30</v>
      </c>
      <c r="H48" t="s">
        <v>541</v>
      </c>
      <c r="I48" t="s">
        <v>542</v>
      </c>
      <c r="J48" t="s">
        <v>145</v>
      </c>
      <c r="K48" t="s">
        <v>157</v>
      </c>
      <c r="L48" s="1">
        <v>46120</v>
      </c>
      <c r="M48" t="s">
        <v>271</v>
      </c>
      <c r="N48">
        <v>1252363</v>
      </c>
      <c r="O48" t="s">
        <v>38</v>
      </c>
      <c r="P48" t="s">
        <v>157</v>
      </c>
      <c r="Q48">
        <v>152</v>
      </c>
      <c r="R48" t="s">
        <v>179</v>
      </c>
      <c r="S48" t="s">
        <v>543</v>
      </c>
      <c r="T48">
        <v>84</v>
      </c>
      <c r="U48" t="s">
        <v>544</v>
      </c>
      <c r="V48" t="s">
        <v>35</v>
      </c>
      <c r="W48" t="s">
        <v>444</v>
      </c>
      <c r="X48" t="s">
        <v>545</v>
      </c>
      <c r="Y48" t="s">
        <v>546</v>
      </c>
      <c r="Z48" t="s">
        <v>527</v>
      </c>
    </row>
    <row r="49" spans="1:26" x14ac:dyDescent="0.2">
      <c r="A49">
        <v>48</v>
      </c>
      <c r="B49" t="s">
        <v>547</v>
      </c>
      <c r="C49">
        <v>1979</v>
      </c>
      <c r="D49" t="s">
        <v>548</v>
      </c>
      <c r="E49" t="s">
        <v>549</v>
      </c>
      <c r="F49" t="s">
        <v>550</v>
      </c>
      <c r="G49" t="s">
        <v>30</v>
      </c>
      <c r="H49" t="s">
        <v>551</v>
      </c>
      <c r="I49" t="s">
        <v>552</v>
      </c>
      <c r="J49" t="s">
        <v>312</v>
      </c>
      <c r="K49" t="s">
        <v>157</v>
      </c>
      <c r="L49" s="1">
        <v>46150</v>
      </c>
      <c r="M49" t="s">
        <v>107</v>
      </c>
      <c r="N49">
        <v>1009344</v>
      </c>
      <c r="O49" t="s">
        <v>97</v>
      </c>
      <c r="P49" t="s">
        <v>74</v>
      </c>
      <c r="Q49">
        <v>139</v>
      </c>
      <c r="R49" t="s">
        <v>74</v>
      </c>
      <c r="S49" t="s">
        <v>553</v>
      </c>
      <c r="T49">
        <v>86</v>
      </c>
      <c r="U49" t="s">
        <v>554</v>
      </c>
      <c r="V49" t="s">
        <v>157</v>
      </c>
      <c r="W49" t="s">
        <v>555</v>
      </c>
      <c r="X49" t="s">
        <v>556</v>
      </c>
      <c r="Y49" t="s">
        <v>557</v>
      </c>
      <c r="Z49" t="s">
        <v>527</v>
      </c>
    </row>
    <row r="50" spans="1:26" x14ac:dyDescent="0.2">
      <c r="A50">
        <v>49</v>
      </c>
      <c r="B50" t="s">
        <v>558</v>
      </c>
      <c r="C50">
        <v>1959</v>
      </c>
      <c r="D50" t="s">
        <v>65</v>
      </c>
      <c r="E50" t="s">
        <v>559</v>
      </c>
      <c r="F50" t="s">
        <v>560</v>
      </c>
      <c r="G50" t="s">
        <v>321</v>
      </c>
      <c r="H50" t="s">
        <v>561</v>
      </c>
      <c r="I50" t="s">
        <v>562</v>
      </c>
      <c r="J50" t="s">
        <v>563</v>
      </c>
      <c r="K50" t="s">
        <v>179</v>
      </c>
      <c r="L50" t="s">
        <v>564</v>
      </c>
      <c r="M50" t="s">
        <v>304</v>
      </c>
      <c r="N50">
        <v>131044</v>
      </c>
      <c r="P50" t="s">
        <v>38</v>
      </c>
      <c r="Q50">
        <v>66</v>
      </c>
      <c r="R50" t="s">
        <v>41</v>
      </c>
      <c r="S50" t="s">
        <v>565</v>
      </c>
      <c r="T50">
        <v>86</v>
      </c>
      <c r="U50" t="s">
        <v>566</v>
      </c>
      <c r="V50" t="s">
        <v>41</v>
      </c>
      <c r="W50" t="s">
        <v>135</v>
      </c>
      <c r="X50" t="s">
        <v>567</v>
      </c>
      <c r="Y50" t="s">
        <v>568</v>
      </c>
      <c r="Z50" t="s">
        <v>569</v>
      </c>
    </row>
    <row r="51" spans="1:26" x14ac:dyDescent="0.2">
      <c r="A51">
        <v>50</v>
      </c>
      <c r="B51" t="s">
        <v>570</v>
      </c>
      <c r="C51">
        <v>1991</v>
      </c>
      <c r="D51" t="s">
        <v>571</v>
      </c>
      <c r="E51" t="s">
        <v>572</v>
      </c>
      <c r="F51" t="s">
        <v>573</v>
      </c>
      <c r="G51" t="s">
        <v>30</v>
      </c>
      <c r="H51" t="s">
        <v>574</v>
      </c>
      <c r="I51" t="s">
        <v>575</v>
      </c>
      <c r="J51" t="s">
        <v>576</v>
      </c>
      <c r="K51" t="s">
        <v>179</v>
      </c>
      <c r="L51" s="1">
        <v>46181</v>
      </c>
      <c r="M51" t="s">
        <v>54</v>
      </c>
      <c r="N51">
        <v>1622286</v>
      </c>
      <c r="O51" t="s">
        <v>54</v>
      </c>
      <c r="P51" t="s">
        <v>157</v>
      </c>
      <c r="Q51">
        <v>112</v>
      </c>
      <c r="R51" t="s">
        <v>35</v>
      </c>
      <c r="S51" t="s">
        <v>577</v>
      </c>
      <c r="T51">
        <v>86</v>
      </c>
      <c r="U51" t="s">
        <v>578</v>
      </c>
      <c r="V51" t="s">
        <v>74</v>
      </c>
      <c r="W51" t="s">
        <v>75</v>
      </c>
      <c r="X51" t="s">
        <v>579</v>
      </c>
      <c r="Y51" t="s">
        <v>580</v>
      </c>
      <c r="Z51" t="s">
        <v>581</v>
      </c>
    </row>
    <row r="52" spans="1:26" x14ac:dyDescent="0.2">
      <c r="A52">
        <v>51</v>
      </c>
      <c r="B52" t="s">
        <v>582</v>
      </c>
      <c r="C52">
        <v>1985</v>
      </c>
      <c r="D52" t="s">
        <v>583</v>
      </c>
      <c r="E52" t="s">
        <v>584</v>
      </c>
      <c r="F52" t="s">
        <v>585</v>
      </c>
      <c r="G52" t="s">
        <v>30</v>
      </c>
      <c r="H52" t="s">
        <v>586</v>
      </c>
      <c r="I52" t="s">
        <v>587</v>
      </c>
      <c r="J52" t="s">
        <v>85</v>
      </c>
      <c r="K52" t="s">
        <v>157</v>
      </c>
      <c r="L52" s="1">
        <v>46150</v>
      </c>
      <c r="M52" t="s">
        <v>107</v>
      </c>
      <c r="N52">
        <v>1367504</v>
      </c>
      <c r="O52" t="s">
        <v>179</v>
      </c>
      <c r="P52" t="s">
        <v>97</v>
      </c>
      <c r="Q52">
        <v>79</v>
      </c>
      <c r="R52" t="s">
        <v>74</v>
      </c>
      <c r="S52" t="s">
        <v>588</v>
      </c>
      <c r="T52">
        <v>84</v>
      </c>
      <c r="U52" t="s">
        <v>589</v>
      </c>
      <c r="V52" t="s">
        <v>34</v>
      </c>
      <c r="W52" t="s">
        <v>75</v>
      </c>
      <c r="X52" t="s">
        <v>590</v>
      </c>
      <c r="Y52" t="s">
        <v>591</v>
      </c>
      <c r="Z52" t="s">
        <v>581</v>
      </c>
    </row>
    <row r="53" spans="1:26" x14ac:dyDescent="0.2">
      <c r="A53">
        <v>52</v>
      </c>
      <c r="B53" t="s">
        <v>592</v>
      </c>
      <c r="C53">
        <v>1976</v>
      </c>
      <c r="D53" t="s">
        <v>593</v>
      </c>
      <c r="E53" t="s">
        <v>174</v>
      </c>
      <c r="F53" t="s">
        <v>594</v>
      </c>
      <c r="G53" t="s">
        <v>30</v>
      </c>
      <c r="H53" t="s">
        <v>595</v>
      </c>
      <c r="I53" t="s">
        <v>596</v>
      </c>
      <c r="J53" t="s">
        <v>53</v>
      </c>
      <c r="K53" t="s">
        <v>179</v>
      </c>
      <c r="L53" s="1">
        <v>46061</v>
      </c>
      <c r="M53" t="s">
        <v>250</v>
      </c>
      <c r="N53">
        <v>970967</v>
      </c>
      <c r="O53" t="s">
        <v>57</v>
      </c>
      <c r="P53" t="s">
        <v>35</v>
      </c>
      <c r="Q53">
        <v>103</v>
      </c>
      <c r="R53" t="s">
        <v>41</v>
      </c>
      <c r="S53" t="s">
        <v>597</v>
      </c>
      <c r="T53">
        <v>82</v>
      </c>
      <c r="U53" t="s">
        <v>598</v>
      </c>
      <c r="V53" t="s">
        <v>157</v>
      </c>
      <c r="W53" t="s">
        <v>75</v>
      </c>
      <c r="X53" t="s">
        <v>599</v>
      </c>
      <c r="Y53" t="s">
        <v>600</v>
      </c>
      <c r="Z53" t="s">
        <v>157</v>
      </c>
    </row>
    <row r="54" spans="1:26" x14ac:dyDescent="0.2">
      <c r="A54">
        <v>53</v>
      </c>
      <c r="B54" t="s">
        <v>601</v>
      </c>
      <c r="C54">
        <v>1958</v>
      </c>
      <c r="D54" t="s">
        <v>602</v>
      </c>
      <c r="E54" t="s">
        <v>361</v>
      </c>
      <c r="F54" t="s">
        <v>603</v>
      </c>
      <c r="G54" t="s">
        <v>30</v>
      </c>
      <c r="H54" t="s">
        <v>604</v>
      </c>
      <c r="K54" t="s">
        <v>179</v>
      </c>
      <c r="L54" s="1">
        <v>46272</v>
      </c>
      <c r="M54" t="s">
        <v>484</v>
      </c>
      <c r="N54">
        <v>112253</v>
      </c>
      <c r="O54" t="s">
        <v>132</v>
      </c>
      <c r="P54" t="s">
        <v>35</v>
      </c>
      <c r="Q54">
        <v>64</v>
      </c>
      <c r="R54" t="s">
        <v>157</v>
      </c>
      <c r="S54" t="s">
        <v>605</v>
      </c>
      <c r="T54">
        <v>84</v>
      </c>
      <c r="U54" t="s">
        <v>606</v>
      </c>
      <c r="V54" t="s">
        <v>54</v>
      </c>
      <c r="W54" t="s">
        <v>75</v>
      </c>
      <c r="X54" t="s">
        <v>607</v>
      </c>
      <c r="Y54" t="s">
        <v>608</v>
      </c>
      <c r="Z54" t="s">
        <v>157</v>
      </c>
    </row>
    <row r="55" spans="1:26" x14ac:dyDescent="0.2">
      <c r="A55">
        <v>54</v>
      </c>
      <c r="B55" t="s">
        <v>609</v>
      </c>
      <c r="C55">
        <v>2002</v>
      </c>
      <c r="D55" t="s">
        <v>267</v>
      </c>
      <c r="E55" t="s">
        <v>610</v>
      </c>
      <c r="F55" t="s">
        <v>611</v>
      </c>
      <c r="G55" t="s">
        <v>30</v>
      </c>
      <c r="H55" t="s">
        <v>612</v>
      </c>
      <c r="I55" t="s">
        <v>613</v>
      </c>
      <c r="J55" t="s">
        <v>614</v>
      </c>
      <c r="K55" t="s">
        <v>179</v>
      </c>
      <c r="L55" s="1">
        <v>46150</v>
      </c>
      <c r="M55" t="s">
        <v>107</v>
      </c>
      <c r="N55">
        <v>961695</v>
      </c>
      <c r="O55" t="s">
        <v>107</v>
      </c>
      <c r="P55" t="s">
        <v>204</v>
      </c>
      <c r="Q55">
        <v>104</v>
      </c>
      <c r="R55" t="s">
        <v>34</v>
      </c>
      <c r="S55" t="s">
        <v>615</v>
      </c>
      <c r="T55">
        <v>88</v>
      </c>
      <c r="U55" t="s">
        <v>616</v>
      </c>
      <c r="V55" t="s">
        <v>57</v>
      </c>
      <c r="W55" t="s">
        <v>617</v>
      </c>
      <c r="X55" t="s">
        <v>618</v>
      </c>
      <c r="Y55" t="s">
        <v>619</v>
      </c>
      <c r="Z55" t="s">
        <v>157</v>
      </c>
    </row>
    <row r="56" spans="1:26" x14ac:dyDescent="0.2">
      <c r="A56">
        <v>55</v>
      </c>
      <c r="B56" t="s">
        <v>620</v>
      </c>
      <c r="C56">
        <v>1995</v>
      </c>
      <c r="D56" t="s">
        <v>621</v>
      </c>
      <c r="E56" t="s">
        <v>622</v>
      </c>
      <c r="F56" t="s">
        <v>623</v>
      </c>
      <c r="G56" t="s">
        <v>30</v>
      </c>
      <c r="H56" t="s">
        <v>624</v>
      </c>
      <c r="I56" t="s">
        <v>625</v>
      </c>
      <c r="J56" t="s">
        <v>626</v>
      </c>
      <c r="K56" t="s">
        <v>157</v>
      </c>
      <c r="L56" s="1">
        <v>46089</v>
      </c>
      <c r="M56" t="s">
        <v>204</v>
      </c>
      <c r="N56">
        <v>1115033</v>
      </c>
      <c r="O56" t="s">
        <v>37</v>
      </c>
      <c r="P56" t="s">
        <v>35</v>
      </c>
      <c r="Q56">
        <v>73</v>
      </c>
      <c r="R56" t="s">
        <v>97</v>
      </c>
      <c r="S56" t="s">
        <v>627</v>
      </c>
      <c r="T56">
        <v>82</v>
      </c>
      <c r="U56" t="s">
        <v>628</v>
      </c>
      <c r="V56" t="s">
        <v>54</v>
      </c>
      <c r="W56" t="s">
        <v>444</v>
      </c>
      <c r="X56" t="s">
        <v>629</v>
      </c>
      <c r="Y56" t="s">
        <v>630</v>
      </c>
      <c r="Z56" t="s">
        <v>157</v>
      </c>
    </row>
    <row r="57" spans="1:26" x14ac:dyDescent="0.2">
      <c r="A57">
        <v>56</v>
      </c>
      <c r="B57" t="s">
        <v>631</v>
      </c>
      <c r="C57">
        <v>1981</v>
      </c>
      <c r="D57" t="s">
        <v>632</v>
      </c>
      <c r="E57" t="s">
        <v>81</v>
      </c>
      <c r="F57" t="s">
        <v>633</v>
      </c>
      <c r="G57" t="s">
        <v>30</v>
      </c>
      <c r="H57" t="s">
        <v>634</v>
      </c>
      <c r="I57" t="s">
        <v>635</v>
      </c>
      <c r="J57" t="s">
        <v>33</v>
      </c>
      <c r="K57" t="s">
        <v>157</v>
      </c>
      <c r="L57" s="1">
        <v>46120</v>
      </c>
      <c r="M57" t="s">
        <v>271</v>
      </c>
      <c r="N57">
        <v>1068716</v>
      </c>
      <c r="O57" t="s">
        <v>54</v>
      </c>
      <c r="P57" t="s">
        <v>74</v>
      </c>
      <c r="Q57">
        <v>105</v>
      </c>
      <c r="R57" t="s">
        <v>74</v>
      </c>
      <c r="S57" t="s">
        <v>636</v>
      </c>
      <c r="T57">
        <v>84</v>
      </c>
      <c r="U57" t="s">
        <v>637</v>
      </c>
      <c r="V57" t="s">
        <v>74</v>
      </c>
      <c r="W57" t="s">
        <v>638</v>
      </c>
      <c r="X57" t="s">
        <v>639</v>
      </c>
      <c r="Y57" t="s">
        <v>640</v>
      </c>
      <c r="Z57" t="s">
        <v>641</v>
      </c>
    </row>
    <row r="58" spans="1:26" x14ac:dyDescent="0.2">
      <c r="A58">
        <v>57</v>
      </c>
      <c r="B58" t="s">
        <v>642</v>
      </c>
      <c r="C58">
        <v>2006</v>
      </c>
      <c r="D58" t="s">
        <v>643</v>
      </c>
      <c r="E58" t="s">
        <v>644</v>
      </c>
      <c r="F58" t="s">
        <v>645</v>
      </c>
      <c r="G58" t="s">
        <v>374</v>
      </c>
      <c r="H58" t="s">
        <v>646</v>
      </c>
      <c r="I58" t="s">
        <v>647</v>
      </c>
      <c r="J58" t="s">
        <v>335</v>
      </c>
      <c r="K58" t="s">
        <v>179</v>
      </c>
      <c r="L58" s="1">
        <v>46120</v>
      </c>
      <c r="M58" t="s">
        <v>271</v>
      </c>
      <c r="N58">
        <v>425676</v>
      </c>
      <c r="O58" t="s">
        <v>97</v>
      </c>
      <c r="P58" t="s">
        <v>107</v>
      </c>
      <c r="Q58">
        <v>91</v>
      </c>
      <c r="R58" t="s">
        <v>35</v>
      </c>
      <c r="S58" t="s">
        <v>648</v>
      </c>
      <c r="T58">
        <v>86</v>
      </c>
      <c r="U58" t="s">
        <v>649</v>
      </c>
      <c r="V58" t="s">
        <v>74</v>
      </c>
      <c r="W58" t="s">
        <v>75</v>
      </c>
      <c r="X58" t="s">
        <v>650</v>
      </c>
      <c r="Y58" t="s">
        <v>651</v>
      </c>
      <c r="Z58" t="s">
        <v>641</v>
      </c>
    </row>
    <row r="59" spans="1:26" x14ac:dyDescent="0.2">
      <c r="A59">
        <v>58</v>
      </c>
      <c r="B59" t="s">
        <v>652</v>
      </c>
      <c r="C59">
        <v>1946</v>
      </c>
      <c r="D59" t="s">
        <v>653</v>
      </c>
      <c r="E59" t="s">
        <v>654</v>
      </c>
      <c r="F59" t="s">
        <v>655</v>
      </c>
      <c r="G59" t="s">
        <v>30</v>
      </c>
      <c r="H59" t="s">
        <v>656</v>
      </c>
      <c r="I59" t="s">
        <v>657</v>
      </c>
      <c r="J59" t="s">
        <v>365</v>
      </c>
      <c r="K59" t="s">
        <v>179</v>
      </c>
      <c r="L59" s="1">
        <v>46030</v>
      </c>
      <c r="M59" t="s">
        <v>228</v>
      </c>
      <c r="N59">
        <v>73744</v>
      </c>
      <c r="O59" t="s">
        <v>34</v>
      </c>
      <c r="P59" t="s">
        <v>74</v>
      </c>
      <c r="Q59">
        <v>63</v>
      </c>
      <c r="R59" t="s">
        <v>97</v>
      </c>
      <c r="S59" t="s">
        <v>658</v>
      </c>
      <c r="T59">
        <v>84</v>
      </c>
      <c r="U59" t="s">
        <v>659</v>
      </c>
      <c r="V59" t="s">
        <v>97</v>
      </c>
      <c r="W59" t="s">
        <v>660</v>
      </c>
      <c r="X59" t="s">
        <v>661</v>
      </c>
      <c r="Y59" t="s">
        <v>662</v>
      </c>
      <c r="Z59" t="s">
        <v>641</v>
      </c>
    </row>
    <row r="60" spans="1:26" x14ac:dyDescent="0.2">
      <c r="A60">
        <v>59</v>
      </c>
      <c r="B60" t="s">
        <v>663</v>
      </c>
      <c r="C60">
        <v>1940</v>
      </c>
      <c r="D60" t="s">
        <v>126</v>
      </c>
      <c r="E60" t="s">
        <v>664</v>
      </c>
      <c r="F60" t="s">
        <v>665</v>
      </c>
      <c r="G60" t="s">
        <v>30</v>
      </c>
      <c r="H60" t="s">
        <v>666</v>
      </c>
      <c r="I60" t="s">
        <v>191</v>
      </c>
      <c r="J60" t="s">
        <v>239</v>
      </c>
      <c r="K60" t="s">
        <v>179</v>
      </c>
      <c r="L60" t="s">
        <v>564</v>
      </c>
      <c r="M60" t="s">
        <v>304</v>
      </c>
      <c r="N60">
        <v>41339</v>
      </c>
      <c r="O60" t="s">
        <v>37</v>
      </c>
      <c r="P60" t="s">
        <v>41</v>
      </c>
      <c r="Q60">
        <v>51</v>
      </c>
      <c r="R60" t="s">
        <v>157</v>
      </c>
      <c r="S60" t="s">
        <v>667</v>
      </c>
      <c r="T60">
        <v>84</v>
      </c>
      <c r="U60" t="s">
        <v>668</v>
      </c>
      <c r="V60" t="s">
        <v>97</v>
      </c>
      <c r="W60" t="s">
        <v>135</v>
      </c>
      <c r="X60" t="s">
        <v>669</v>
      </c>
      <c r="Y60" t="s">
        <v>670</v>
      </c>
      <c r="Z60" t="s">
        <v>641</v>
      </c>
    </row>
    <row r="61" spans="1:26" x14ac:dyDescent="0.2">
      <c r="A61">
        <v>60</v>
      </c>
      <c r="B61" t="s">
        <v>671</v>
      </c>
      <c r="C61">
        <v>2007</v>
      </c>
      <c r="D61" t="s">
        <v>65</v>
      </c>
      <c r="E61" t="s">
        <v>342</v>
      </c>
      <c r="F61" t="s">
        <v>672</v>
      </c>
      <c r="G61" t="s">
        <v>30</v>
      </c>
      <c r="H61" t="s">
        <v>673</v>
      </c>
      <c r="I61" t="s">
        <v>674</v>
      </c>
      <c r="J61" t="s">
        <v>675</v>
      </c>
      <c r="K61" t="s">
        <v>157</v>
      </c>
      <c r="L61" s="1">
        <v>46061</v>
      </c>
      <c r="M61" t="s">
        <v>250</v>
      </c>
      <c r="N61">
        <v>666631</v>
      </c>
      <c r="O61" t="s">
        <v>34</v>
      </c>
      <c r="P61" t="s">
        <v>179</v>
      </c>
      <c r="Q61">
        <v>166</v>
      </c>
      <c r="R61" t="s">
        <v>271</v>
      </c>
      <c r="S61" t="s">
        <v>676</v>
      </c>
      <c r="T61">
        <v>90</v>
      </c>
      <c r="U61" t="s">
        <v>677</v>
      </c>
      <c r="V61" t="s">
        <v>74</v>
      </c>
      <c r="W61" t="s">
        <v>42</v>
      </c>
      <c r="X61" t="s">
        <v>678</v>
      </c>
      <c r="Y61" t="s">
        <v>679</v>
      </c>
      <c r="Z61" t="s">
        <v>641</v>
      </c>
    </row>
    <row r="62" spans="1:26" x14ac:dyDescent="0.2">
      <c r="A62">
        <v>61</v>
      </c>
      <c r="B62" t="s">
        <v>680</v>
      </c>
      <c r="C62">
        <v>1957</v>
      </c>
      <c r="D62" t="s">
        <v>681</v>
      </c>
      <c r="E62" t="s">
        <v>682</v>
      </c>
      <c r="F62" t="s">
        <v>683</v>
      </c>
      <c r="G62" t="s">
        <v>684</v>
      </c>
      <c r="H62" t="s">
        <v>685</v>
      </c>
      <c r="I62" t="s">
        <v>686</v>
      </c>
      <c r="J62" t="s">
        <v>687</v>
      </c>
      <c r="K62" t="s">
        <v>179</v>
      </c>
      <c r="L62" s="1">
        <v>46030</v>
      </c>
      <c r="M62" t="s">
        <v>228</v>
      </c>
      <c r="N62">
        <v>206854</v>
      </c>
      <c r="O62" t="s">
        <v>157</v>
      </c>
      <c r="P62" t="s">
        <v>74</v>
      </c>
      <c r="Q62">
        <v>57</v>
      </c>
      <c r="R62" t="s">
        <v>41</v>
      </c>
      <c r="S62" t="s">
        <v>688</v>
      </c>
      <c r="T62">
        <v>86</v>
      </c>
      <c r="U62" t="s">
        <v>689</v>
      </c>
      <c r="V62" t="s">
        <v>41</v>
      </c>
      <c r="W62" t="s">
        <v>135</v>
      </c>
      <c r="X62" t="s">
        <v>690</v>
      </c>
      <c r="Y62" t="s">
        <v>691</v>
      </c>
      <c r="Z62" t="s">
        <v>692</v>
      </c>
    </row>
    <row r="63" spans="1:26" x14ac:dyDescent="0.2">
      <c r="A63">
        <v>62</v>
      </c>
      <c r="B63" t="s">
        <v>693</v>
      </c>
      <c r="C63">
        <v>2002</v>
      </c>
      <c r="D63" t="s">
        <v>348</v>
      </c>
      <c r="E63" t="s">
        <v>349</v>
      </c>
      <c r="F63" t="s">
        <v>350</v>
      </c>
      <c r="G63" t="s">
        <v>30</v>
      </c>
      <c r="H63" t="s">
        <v>694</v>
      </c>
      <c r="I63" t="s">
        <v>695</v>
      </c>
      <c r="J63" t="s">
        <v>353</v>
      </c>
      <c r="K63" t="s">
        <v>179</v>
      </c>
      <c r="L63" s="1">
        <v>46242</v>
      </c>
      <c r="M63" t="s">
        <v>157</v>
      </c>
      <c r="N63">
        <v>1861078</v>
      </c>
      <c r="O63" t="s">
        <v>179</v>
      </c>
      <c r="P63" t="s">
        <v>54</v>
      </c>
      <c r="Q63">
        <v>140</v>
      </c>
      <c r="R63" t="s">
        <v>35</v>
      </c>
      <c r="S63" t="s">
        <v>696</v>
      </c>
      <c r="T63">
        <v>88</v>
      </c>
      <c r="U63" t="s">
        <v>697</v>
      </c>
      <c r="V63" t="s">
        <v>107</v>
      </c>
      <c r="W63" t="s">
        <v>60</v>
      </c>
      <c r="X63" t="s">
        <v>698</v>
      </c>
      <c r="Y63" t="s">
        <v>699</v>
      </c>
      <c r="Z63" t="s">
        <v>692</v>
      </c>
    </row>
    <row r="64" spans="1:26" x14ac:dyDescent="0.2">
      <c r="A64">
        <v>63</v>
      </c>
      <c r="B64" t="s">
        <v>700</v>
      </c>
      <c r="C64">
        <v>1989</v>
      </c>
      <c r="D64" t="s">
        <v>65</v>
      </c>
      <c r="E64" t="s">
        <v>701</v>
      </c>
      <c r="F64" t="s">
        <v>702</v>
      </c>
      <c r="G64" t="s">
        <v>30</v>
      </c>
    </row>
    <row r="67" spans="1:26" x14ac:dyDescent="0.2">
      <c r="A67" t="s">
        <v>703</v>
      </c>
      <c r="B67" t="s">
        <v>704</v>
      </c>
      <c r="C67" t="s">
        <v>705</v>
      </c>
      <c r="D67" t="s">
        <v>706</v>
      </c>
      <c r="E67" t="s">
        <v>707</v>
      </c>
      <c r="F67" t="s">
        <v>708</v>
      </c>
      <c r="G67" t="s">
        <v>709</v>
      </c>
      <c r="H67" t="s">
        <v>85</v>
      </c>
      <c r="I67" t="s">
        <v>157</v>
      </c>
      <c r="J67" t="s">
        <v>564</v>
      </c>
      <c r="K67" t="s">
        <v>304</v>
      </c>
      <c r="L67">
        <v>117516</v>
      </c>
      <c r="M67" t="s">
        <v>34</v>
      </c>
      <c r="N67" t="s">
        <v>35</v>
      </c>
      <c r="O67">
        <v>82</v>
      </c>
      <c r="P67" t="s">
        <v>54</v>
      </c>
      <c r="Q67" t="s">
        <v>710</v>
      </c>
      <c r="R67">
        <v>88</v>
      </c>
      <c r="S67" t="s">
        <v>711</v>
      </c>
      <c r="T67" t="s">
        <v>54</v>
      </c>
      <c r="U67" t="s">
        <v>253</v>
      </c>
      <c r="V67" t="s">
        <v>712</v>
      </c>
      <c r="W67" t="s">
        <v>713</v>
      </c>
      <c r="X67" t="s">
        <v>714</v>
      </c>
    </row>
    <row r="68" spans="1:26" x14ac:dyDescent="0.2">
      <c r="A68">
        <v>64</v>
      </c>
      <c r="B68" t="s">
        <v>715</v>
      </c>
      <c r="C68">
        <v>1984</v>
      </c>
      <c r="D68" t="s">
        <v>716</v>
      </c>
      <c r="E68" t="s">
        <v>427</v>
      </c>
      <c r="F68" t="s">
        <v>717</v>
      </c>
      <c r="G68" t="s">
        <v>30</v>
      </c>
      <c r="H68" t="s">
        <v>718</v>
      </c>
      <c r="I68" t="s">
        <v>719</v>
      </c>
      <c r="J68" t="s">
        <v>216</v>
      </c>
      <c r="K68" t="s">
        <v>179</v>
      </c>
      <c r="L68" s="1">
        <v>46120</v>
      </c>
      <c r="M68" t="s">
        <v>271</v>
      </c>
      <c r="N68">
        <v>446044</v>
      </c>
      <c r="O68" t="s">
        <v>179</v>
      </c>
      <c r="P68" t="s">
        <v>97</v>
      </c>
      <c r="Q68">
        <v>85</v>
      </c>
      <c r="R68" t="s">
        <v>74</v>
      </c>
      <c r="S68" t="s">
        <v>720</v>
      </c>
      <c r="T68">
        <v>86</v>
      </c>
      <c r="U68" t="s">
        <v>721</v>
      </c>
      <c r="V68" t="s">
        <v>157</v>
      </c>
      <c r="W68" t="s">
        <v>75</v>
      </c>
      <c r="X68" t="s">
        <v>722</v>
      </c>
      <c r="Y68" t="s">
        <v>723</v>
      </c>
      <c r="Z68" t="s">
        <v>714</v>
      </c>
    </row>
    <row r="69" spans="1:26" x14ac:dyDescent="0.2">
      <c r="A69">
        <v>65</v>
      </c>
      <c r="B69" t="s">
        <v>724</v>
      </c>
      <c r="C69">
        <v>2004</v>
      </c>
      <c r="D69" t="s">
        <v>725</v>
      </c>
      <c r="E69" t="s">
        <v>726</v>
      </c>
      <c r="F69" t="s">
        <v>727</v>
      </c>
      <c r="G69" t="s">
        <v>30</v>
      </c>
      <c r="H69" t="s">
        <v>728</v>
      </c>
      <c r="I69" t="s">
        <v>729</v>
      </c>
      <c r="J69" t="s">
        <v>614</v>
      </c>
      <c r="K69" t="s">
        <v>179</v>
      </c>
      <c r="L69" s="1">
        <v>46089</v>
      </c>
      <c r="M69" t="s">
        <v>204</v>
      </c>
      <c r="N69">
        <v>1129606</v>
      </c>
      <c r="O69" t="s">
        <v>97</v>
      </c>
      <c r="P69" t="s">
        <v>54</v>
      </c>
      <c r="Q69">
        <v>165</v>
      </c>
      <c r="R69" t="s">
        <v>41</v>
      </c>
      <c r="S69" t="s">
        <v>730</v>
      </c>
      <c r="T69">
        <v>84</v>
      </c>
      <c r="U69" t="s">
        <v>731</v>
      </c>
      <c r="V69" t="s">
        <v>34</v>
      </c>
      <c r="W69" t="s">
        <v>75</v>
      </c>
      <c r="Y69" t="s">
        <v>732</v>
      </c>
      <c r="Z69" t="s">
        <v>714</v>
      </c>
    </row>
    <row r="70" spans="1:26" x14ac:dyDescent="0.2">
      <c r="A70">
        <v>66</v>
      </c>
      <c r="B70" t="s">
        <v>733</v>
      </c>
      <c r="C70">
        <v>1955</v>
      </c>
      <c r="D70" t="s">
        <v>571</v>
      </c>
      <c r="E70" t="s">
        <v>734</v>
      </c>
      <c r="F70" t="s">
        <v>735</v>
      </c>
      <c r="G70" t="s">
        <v>30</v>
      </c>
      <c r="H70" t="s">
        <v>736</v>
      </c>
      <c r="I70" t="s">
        <v>191</v>
      </c>
      <c r="J70" t="s">
        <v>167</v>
      </c>
      <c r="K70" t="s">
        <v>179</v>
      </c>
      <c r="L70" t="s">
        <v>564</v>
      </c>
      <c r="M70" t="s">
        <v>304</v>
      </c>
      <c r="N70">
        <v>102071</v>
      </c>
      <c r="O70" t="s">
        <v>56</v>
      </c>
      <c r="P70" t="s">
        <v>34</v>
      </c>
      <c r="Q70">
        <v>82</v>
      </c>
      <c r="R70" t="s">
        <v>179</v>
      </c>
      <c r="S70" t="s">
        <v>737</v>
      </c>
      <c r="T70">
        <v>86</v>
      </c>
      <c r="U70" t="s">
        <v>738</v>
      </c>
      <c r="V70" t="s">
        <v>250</v>
      </c>
      <c r="W70" t="s">
        <v>75</v>
      </c>
      <c r="X70" t="s">
        <v>739</v>
      </c>
      <c r="Y70" t="s">
        <v>740</v>
      </c>
      <c r="Z70" t="s">
        <v>714</v>
      </c>
    </row>
    <row r="71" spans="1:26" x14ac:dyDescent="0.2">
      <c r="A71">
        <v>67</v>
      </c>
      <c r="B71" t="s">
        <v>741</v>
      </c>
      <c r="C71">
        <v>2007</v>
      </c>
      <c r="D71" t="s">
        <v>742</v>
      </c>
      <c r="E71" t="s">
        <v>743</v>
      </c>
      <c r="F71" t="s">
        <v>744</v>
      </c>
      <c r="G71" t="s">
        <v>30</v>
      </c>
      <c r="H71" t="s">
        <v>745</v>
      </c>
      <c r="I71" t="s">
        <v>746</v>
      </c>
      <c r="J71" t="s">
        <v>747</v>
      </c>
      <c r="K71" t="s">
        <v>179</v>
      </c>
      <c r="L71" s="1">
        <v>46030</v>
      </c>
      <c r="M71" t="s">
        <v>228</v>
      </c>
      <c r="N71">
        <v>877175</v>
      </c>
      <c r="O71" t="s">
        <v>37</v>
      </c>
      <c r="P71" t="s">
        <v>157</v>
      </c>
      <c r="Q71">
        <v>152</v>
      </c>
      <c r="R71" t="s">
        <v>271</v>
      </c>
      <c r="S71" t="s">
        <v>748</v>
      </c>
      <c r="T71">
        <v>84</v>
      </c>
      <c r="U71" t="s">
        <v>749</v>
      </c>
      <c r="V71" t="s">
        <v>74</v>
      </c>
      <c r="W71" t="s">
        <v>444</v>
      </c>
      <c r="X71" t="s">
        <v>750</v>
      </c>
      <c r="Y71" t="s">
        <v>751</v>
      </c>
      <c r="Z71" t="s">
        <v>752</v>
      </c>
    </row>
    <row r="72" spans="1:26" x14ac:dyDescent="0.2">
      <c r="A72">
        <v>68</v>
      </c>
      <c r="B72" t="s">
        <v>753</v>
      </c>
      <c r="C72">
        <v>2023</v>
      </c>
      <c r="D72" t="s">
        <v>211</v>
      </c>
      <c r="E72" t="s">
        <v>754</v>
      </c>
      <c r="F72" t="s">
        <v>755</v>
      </c>
      <c r="G72" t="s">
        <v>30</v>
      </c>
      <c r="H72" t="s">
        <v>756</v>
      </c>
      <c r="K72" t="s">
        <v>179</v>
      </c>
      <c r="L72" s="1">
        <v>46241</v>
      </c>
      <c r="M72" t="s">
        <v>757</v>
      </c>
      <c r="N72">
        <v>148063</v>
      </c>
      <c r="O72" t="s">
        <v>57</v>
      </c>
      <c r="P72" t="s">
        <v>35</v>
      </c>
      <c r="Q72">
        <v>181</v>
      </c>
      <c r="S72" t="s">
        <v>758</v>
      </c>
      <c r="T72">
        <v>84</v>
      </c>
      <c r="U72" t="s">
        <v>759</v>
      </c>
      <c r="V72" t="s">
        <v>157</v>
      </c>
      <c r="X72" t="s">
        <v>760</v>
      </c>
      <c r="Y72" t="s">
        <v>761</v>
      </c>
      <c r="Z72" t="s">
        <v>762</v>
      </c>
    </row>
    <row r="73" spans="1:26" x14ac:dyDescent="0.2">
      <c r="A73">
        <v>69</v>
      </c>
      <c r="B73" t="s">
        <v>763</v>
      </c>
      <c r="C73">
        <v>2006</v>
      </c>
      <c r="D73" t="s">
        <v>764</v>
      </c>
      <c r="E73" t="s">
        <v>174</v>
      </c>
      <c r="F73" t="s">
        <v>765</v>
      </c>
      <c r="G73" t="s">
        <v>30</v>
      </c>
      <c r="H73" t="s">
        <v>766</v>
      </c>
      <c r="I73" t="s">
        <v>767</v>
      </c>
      <c r="J73" t="s">
        <v>216</v>
      </c>
      <c r="K73" t="s">
        <v>54</v>
      </c>
      <c r="L73" s="1">
        <v>46150</v>
      </c>
      <c r="M73" t="s">
        <v>107</v>
      </c>
      <c r="N73">
        <v>1478709</v>
      </c>
      <c r="O73" t="s">
        <v>107</v>
      </c>
      <c r="P73" t="s">
        <v>271</v>
      </c>
      <c r="Q73">
        <v>172</v>
      </c>
      <c r="R73" t="s">
        <v>74</v>
      </c>
      <c r="S73" t="s">
        <v>768</v>
      </c>
      <c r="T73">
        <v>86</v>
      </c>
      <c r="U73" t="s">
        <v>769</v>
      </c>
      <c r="V73" t="s">
        <v>35</v>
      </c>
      <c r="W73" t="s">
        <v>135</v>
      </c>
      <c r="X73" t="s">
        <v>770</v>
      </c>
      <c r="Y73" t="s">
        <v>771</v>
      </c>
      <c r="Z73" t="s">
        <v>772</v>
      </c>
    </row>
    <row r="74" spans="1:26" x14ac:dyDescent="0.2">
      <c r="A74">
        <v>70</v>
      </c>
      <c r="B74" t="s">
        <v>773</v>
      </c>
      <c r="C74">
        <v>1974</v>
      </c>
      <c r="D74" t="s">
        <v>774</v>
      </c>
      <c r="E74" t="s">
        <v>610</v>
      </c>
      <c r="F74" t="s">
        <v>775</v>
      </c>
      <c r="G74" t="s">
        <v>30</v>
      </c>
      <c r="H74" t="s">
        <v>776</v>
      </c>
      <c r="I74" t="s">
        <v>777</v>
      </c>
      <c r="J74" t="s">
        <v>33</v>
      </c>
      <c r="K74" t="s">
        <v>179</v>
      </c>
      <c r="L74" s="1">
        <v>46030</v>
      </c>
      <c r="M74" t="s">
        <v>228</v>
      </c>
      <c r="N74">
        <v>362976</v>
      </c>
      <c r="O74" t="s">
        <v>35</v>
      </c>
      <c r="P74" t="s">
        <v>57</v>
      </c>
      <c r="Q74">
        <v>63</v>
      </c>
      <c r="R74" t="s">
        <v>97</v>
      </c>
      <c r="S74" t="s">
        <v>778</v>
      </c>
      <c r="T74">
        <v>86</v>
      </c>
      <c r="U74" t="s">
        <v>779</v>
      </c>
      <c r="V74" t="s">
        <v>228</v>
      </c>
      <c r="W74" t="s">
        <v>780</v>
      </c>
      <c r="Y74" t="s">
        <v>781</v>
      </c>
      <c r="Z74" t="s">
        <v>772</v>
      </c>
    </row>
    <row r="75" spans="1:26" x14ac:dyDescent="0.2">
      <c r="A75">
        <v>71</v>
      </c>
      <c r="B75" t="s">
        <v>782</v>
      </c>
      <c r="C75">
        <v>1957</v>
      </c>
      <c r="D75" t="s">
        <v>783</v>
      </c>
      <c r="E75" t="s">
        <v>199</v>
      </c>
      <c r="F75" t="s">
        <v>784</v>
      </c>
      <c r="G75" t="s">
        <v>30</v>
      </c>
      <c r="H75" t="s">
        <v>785</v>
      </c>
      <c r="I75" t="s">
        <v>786</v>
      </c>
      <c r="J75" t="s">
        <v>167</v>
      </c>
      <c r="K75" t="s">
        <v>54</v>
      </c>
      <c r="L75" s="1">
        <v>46120</v>
      </c>
      <c r="M75" t="s">
        <v>271</v>
      </c>
      <c r="N75">
        <v>224612</v>
      </c>
      <c r="O75" t="s">
        <v>41</v>
      </c>
      <c r="P75" t="s">
        <v>41</v>
      </c>
      <c r="Q75">
        <v>68</v>
      </c>
      <c r="R75" t="s">
        <v>35</v>
      </c>
      <c r="S75" t="s">
        <v>787</v>
      </c>
      <c r="T75">
        <v>88</v>
      </c>
      <c r="U75" t="s">
        <v>788</v>
      </c>
      <c r="V75" t="s">
        <v>484</v>
      </c>
      <c r="W75" t="s">
        <v>75</v>
      </c>
      <c r="X75" t="s">
        <v>789</v>
      </c>
      <c r="Y75" t="s">
        <v>790</v>
      </c>
      <c r="Z75" t="s">
        <v>772</v>
      </c>
    </row>
    <row r="76" spans="1:26" x14ac:dyDescent="0.2">
      <c r="A76">
        <v>72</v>
      </c>
      <c r="B76" t="s">
        <v>791</v>
      </c>
      <c r="C76">
        <v>1975</v>
      </c>
      <c r="D76" t="s">
        <v>792</v>
      </c>
      <c r="E76" t="s">
        <v>793</v>
      </c>
      <c r="F76" t="s">
        <v>794</v>
      </c>
      <c r="G76" t="s">
        <v>30</v>
      </c>
      <c r="H76" t="s">
        <v>795</v>
      </c>
      <c r="I76" t="s">
        <v>796</v>
      </c>
      <c r="J76" t="s">
        <v>797</v>
      </c>
      <c r="K76" t="s">
        <v>54</v>
      </c>
      <c r="L76" s="1">
        <v>46061</v>
      </c>
      <c r="M76" t="s">
        <v>250</v>
      </c>
      <c r="N76">
        <v>584895</v>
      </c>
      <c r="O76" t="s">
        <v>74</v>
      </c>
      <c r="P76" t="s">
        <v>179</v>
      </c>
      <c r="Q76">
        <v>60</v>
      </c>
      <c r="R76" t="s">
        <v>41</v>
      </c>
      <c r="S76" t="s">
        <v>798</v>
      </c>
      <c r="T76">
        <v>82</v>
      </c>
      <c r="U76" t="s">
        <v>799</v>
      </c>
      <c r="V76" t="s">
        <v>74</v>
      </c>
      <c r="W76" t="s">
        <v>800</v>
      </c>
      <c r="X76" t="s">
        <v>801</v>
      </c>
      <c r="Y76" t="s">
        <v>802</v>
      </c>
      <c r="Z76" t="s">
        <v>772</v>
      </c>
    </row>
    <row r="77" spans="1:26" x14ac:dyDescent="0.2">
      <c r="A77">
        <v>73</v>
      </c>
      <c r="B77" t="s">
        <v>803</v>
      </c>
      <c r="C77">
        <v>1988</v>
      </c>
      <c r="D77" t="s">
        <v>804</v>
      </c>
      <c r="E77" t="s">
        <v>141</v>
      </c>
      <c r="F77" t="s">
        <v>805</v>
      </c>
      <c r="G77" t="s">
        <v>50</v>
      </c>
      <c r="H77" t="s">
        <v>806</v>
      </c>
      <c r="I77" t="s">
        <v>807</v>
      </c>
      <c r="J77" t="s">
        <v>808</v>
      </c>
      <c r="K77" t="s">
        <v>54</v>
      </c>
      <c r="L77" s="1">
        <v>46030</v>
      </c>
      <c r="M77" t="s">
        <v>228</v>
      </c>
      <c r="N77">
        <v>403332</v>
      </c>
      <c r="O77" t="s">
        <v>179</v>
      </c>
      <c r="P77" t="s">
        <v>54</v>
      </c>
      <c r="Q77">
        <v>54</v>
      </c>
      <c r="R77" t="s">
        <v>41</v>
      </c>
      <c r="S77" t="s">
        <v>809</v>
      </c>
      <c r="T77">
        <v>84</v>
      </c>
      <c r="U77" t="s">
        <v>810</v>
      </c>
      <c r="V77" t="s">
        <v>57</v>
      </c>
      <c r="W77" t="s">
        <v>135</v>
      </c>
      <c r="X77" t="s">
        <v>811</v>
      </c>
      <c r="Y77" t="s">
        <v>812</v>
      </c>
      <c r="Z77" t="s">
        <v>179</v>
      </c>
    </row>
    <row r="78" spans="1:26" x14ac:dyDescent="0.2">
      <c r="A78">
        <v>74</v>
      </c>
      <c r="B78" t="s">
        <v>813</v>
      </c>
      <c r="C78">
        <v>1997</v>
      </c>
      <c r="D78" t="s">
        <v>814</v>
      </c>
      <c r="E78" t="s">
        <v>815</v>
      </c>
      <c r="F78" t="s">
        <v>816</v>
      </c>
      <c r="G78" t="s">
        <v>30</v>
      </c>
      <c r="H78" t="s">
        <v>817</v>
      </c>
      <c r="I78" t="s">
        <v>818</v>
      </c>
      <c r="J78" t="s">
        <v>216</v>
      </c>
      <c r="K78" t="s">
        <v>54</v>
      </c>
      <c r="L78" s="1">
        <v>46061</v>
      </c>
      <c r="M78" t="s">
        <v>250</v>
      </c>
      <c r="N78">
        <v>638085</v>
      </c>
      <c r="O78" t="s">
        <v>74</v>
      </c>
      <c r="P78" t="s">
        <v>41</v>
      </c>
      <c r="Q78">
        <v>96</v>
      </c>
      <c r="R78" t="s">
        <v>41</v>
      </c>
      <c r="S78" t="s">
        <v>819</v>
      </c>
      <c r="T78">
        <v>82</v>
      </c>
      <c r="U78" t="s">
        <v>820</v>
      </c>
      <c r="V78" t="s">
        <v>179</v>
      </c>
      <c r="W78" t="s">
        <v>821</v>
      </c>
      <c r="X78" t="s">
        <v>822</v>
      </c>
      <c r="Y78" t="s">
        <v>823</v>
      </c>
      <c r="Z78" t="s">
        <v>179</v>
      </c>
    </row>
    <row r="79" spans="1:26" x14ac:dyDescent="0.2">
      <c r="A79">
        <v>75</v>
      </c>
      <c r="B79" t="s">
        <v>824</v>
      </c>
      <c r="C79">
        <v>1994</v>
      </c>
      <c r="D79" t="s">
        <v>825</v>
      </c>
      <c r="E79" t="s">
        <v>826</v>
      </c>
      <c r="F79" t="s">
        <v>827</v>
      </c>
      <c r="G79" t="s">
        <v>30</v>
      </c>
      <c r="H79" t="s">
        <v>828</v>
      </c>
      <c r="I79" t="s">
        <v>829</v>
      </c>
      <c r="J79" t="s">
        <v>626</v>
      </c>
      <c r="K79" t="s">
        <v>54</v>
      </c>
      <c r="L79" s="1">
        <v>46150</v>
      </c>
      <c r="M79" t="s">
        <v>107</v>
      </c>
      <c r="N79">
        <v>1194520</v>
      </c>
      <c r="O79" t="s">
        <v>157</v>
      </c>
      <c r="P79" t="s">
        <v>54</v>
      </c>
      <c r="Q79">
        <v>115</v>
      </c>
      <c r="R79" t="s">
        <v>41</v>
      </c>
      <c r="S79" t="s">
        <v>830</v>
      </c>
      <c r="T79">
        <v>84</v>
      </c>
      <c r="U79" t="s">
        <v>831</v>
      </c>
      <c r="V79" t="s">
        <v>97</v>
      </c>
      <c r="W79" t="s">
        <v>444</v>
      </c>
      <c r="X79" t="s">
        <v>832</v>
      </c>
      <c r="Y79" t="s">
        <v>833</v>
      </c>
      <c r="Z79" t="s">
        <v>179</v>
      </c>
    </row>
    <row r="80" spans="1:26" x14ac:dyDescent="0.2">
      <c r="A80">
        <v>76</v>
      </c>
      <c r="B80" t="s">
        <v>834</v>
      </c>
      <c r="C80">
        <v>2020</v>
      </c>
      <c r="D80" t="s">
        <v>835</v>
      </c>
      <c r="E80" t="s">
        <v>836</v>
      </c>
      <c r="F80" t="s">
        <v>837</v>
      </c>
      <c r="G80" t="s">
        <v>30</v>
      </c>
      <c r="H80" t="s">
        <v>838</v>
      </c>
      <c r="K80" t="s">
        <v>179</v>
      </c>
      <c r="L80" s="1">
        <v>46089</v>
      </c>
      <c r="M80" t="s">
        <v>204</v>
      </c>
      <c r="N80">
        <v>126439</v>
      </c>
      <c r="O80" t="s">
        <v>157</v>
      </c>
      <c r="P80" t="s">
        <v>74</v>
      </c>
      <c r="Q80">
        <v>102</v>
      </c>
      <c r="R80" t="s">
        <v>157</v>
      </c>
      <c r="S80" t="s">
        <v>839</v>
      </c>
      <c r="T80">
        <v>84</v>
      </c>
      <c r="U80" t="s">
        <v>840</v>
      </c>
      <c r="V80" t="s">
        <v>179</v>
      </c>
      <c r="X80" t="s">
        <v>841</v>
      </c>
      <c r="Y80" t="s">
        <v>842</v>
      </c>
      <c r="Z80" t="s">
        <v>843</v>
      </c>
    </row>
    <row r="81" spans="1:26" x14ac:dyDescent="0.2">
      <c r="A81">
        <v>77</v>
      </c>
      <c r="B81" t="s">
        <v>844</v>
      </c>
      <c r="C81">
        <v>1988</v>
      </c>
      <c r="D81" t="s">
        <v>211</v>
      </c>
      <c r="E81" t="s">
        <v>845</v>
      </c>
      <c r="F81" t="s">
        <v>846</v>
      </c>
      <c r="G81" t="s">
        <v>189</v>
      </c>
      <c r="H81" t="s">
        <v>847</v>
      </c>
      <c r="I81" t="s">
        <v>848</v>
      </c>
      <c r="J81" t="s">
        <v>118</v>
      </c>
      <c r="K81" t="s">
        <v>54</v>
      </c>
      <c r="L81" s="1">
        <v>46150</v>
      </c>
      <c r="M81" t="s">
        <v>107</v>
      </c>
      <c r="N81">
        <v>299114</v>
      </c>
      <c r="O81" t="s">
        <v>304</v>
      </c>
      <c r="P81" t="s">
        <v>228</v>
      </c>
      <c r="Q81">
        <v>61</v>
      </c>
      <c r="R81" t="s">
        <v>34</v>
      </c>
      <c r="S81" t="s">
        <v>849</v>
      </c>
      <c r="T81">
        <v>90</v>
      </c>
      <c r="U81" t="s">
        <v>850</v>
      </c>
      <c r="V81" t="s">
        <v>35</v>
      </c>
      <c r="W81" t="s">
        <v>75</v>
      </c>
      <c r="X81" t="s">
        <v>851</v>
      </c>
      <c r="Y81" t="s">
        <v>852</v>
      </c>
      <c r="Z81" t="s">
        <v>843</v>
      </c>
    </row>
    <row r="82" spans="1:26" x14ac:dyDescent="0.2">
      <c r="A82">
        <v>78</v>
      </c>
      <c r="B82" t="s">
        <v>853</v>
      </c>
      <c r="C82">
        <v>2002</v>
      </c>
      <c r="D82" t="s">
        <v>27</v>
      </c>
      <c r="E82" t="s">
        <v>854</v>
      </c>
      <c r="F82" t="s">
        <v>855</v>
      </c>
      <c r="G82" t="s">
        <v>856</v>
      </c>
      <c r="H82" t="s">
        <v>857</v>
      </c>
      <c r="I82" t="s">
        <v>858</v>
      </c>
      <c r="J82" t="s">
        <v>118</v>
      </c>
      <c r="K82" t="s">
        <v>54</v>
      </c>
      <c r="L82" s="1">
        <v>46181</v>
      </c>
      <c r="M82" t="s">
        <v>54</v>
      </c>
      <c r="N82">
        <v>832918</v>
      </c>
      <c r="O82" t="s">
        <v>484</v>
      </c>
      <c r="P82" t="s">
        <v>250</v>
      </c>
      <c r="Q82">
        <v>110</v>
      </c>
      <c r="R82" t="s">
        <v>34</v>
      </c>
      <c r="S82" t="s">
        <v>859</v>
      </c>
      <c r="T82">
        <v>90</v>
      </c>
      <c r="U82" t="s">
        <v>860</v>
      </c>
      <c r="V82" t="s">
        <v>74</v>
      </c>
      <c r="W82" t="s">
        <v>75</v>
      </c>
      <c r="X82" t="s">
        <v>861</v>
      </c>
      <c r="Y82" t="s">
        <v>862</v>
      </c>
      <c r="Z82" t="s">
        <v>843</v>
      </c>
    </row>
    <row r="83" spans="1:26" x14ac:dyDescent="0.2">
      <c r="A83">
        <v>79</v>
      </c>
      <c r="B83" t="s">
        <v>863</v>
      </c>
      <c r="C83">
        <v>2020</v>
      </c>
      <c r="D83" t="s">
        <v>864</v>
      </c>
      <c r="E83" t="s">
        <v>865</v>
      </c>
      <c r="F83" t="s">
        <v>866</v>
      </c>
      <c r="G83" t="s">
        <v>30</v>
      </c>
      <c r="H83" t="s">
        <v>867</v>
      </c>
      <c r="K83" t="s">
        <v>107</v>
      </c>
      <c r="L83" t="s">
        <v>564</v>
      </c>
      <c r="M83" t="s">
        <v>304</v>
      </c>
      <c r="N83">
        <v>41605</v>
      </c>
      <c r="O83" t="s">
        <v>179</v>
      </c>
      <c r="P83" t="s">
        <v>179</v>
      </c>
      <c r="Q83">
        <v>109</v>
      </c>
      <c r="R83" t="s">
        <v>38</v>
      </c>
      <c r="S83" t="s">
        <v>868</v>
      </c>
      <c r="T83">
        <v>84</v>
      </c>
      <c r="U83" t="s">
        <v>869</v>
      </c>
      <c r="V83" t="s">
        <v>157</v>
      </c>
      <c r="W83" t="s">
        <v>870</v>
      </c>
      <c r="Y83" t="s">
        <v>871</v>
      </c>
      <c r="Z83" t="s">
        <v>843</v>
      </c>
    </row>
    <row r="84" spans="1:26" x14ac:dyDescent="0.2">
      <c r="A84">
        <v>80</v>
      </c>
      <c r="B84" t="s">
        <v>872</v>
      </c>
      <c r="C84">
        <v>1957</v>
      </c>
      <c r="D84" t="s">
        <v>80</v>
      </c>
      <c r="E84" t="s">
        <v>298</v>
      </c>
      <c r="F84" t="s">
        <v>873</v>
      </c>
      <c r="G84" t="s">
        <v>30</v>
      </c>
      <c r="H84" t="s">
        <v>874</v>
      </c>
      <c r="I84" t="s">
        <v>875</v>
      </c>
      <c r="J84" t="s">
        <v>53</v>
      </c>
      <c r="K84" t="s">
        <v>179</v>
      </c>
      <c r="L84" s="1">
        <v>46030</v>
      </c>
      <c r="M84" t="s">
        <v>228</v>
      </c>
      <c r="N84">
        <v>240528</v>
      </c>
      <c r="O84" t="s">
        <v>157</v>
      </c>
      <c r="P84" t="s">
        <v>34</v>
      </c>
      <c r="Q84">
        <v>64</v>
      </c>
      <c r="R84" t="s">
        <v>97</v>
      </c>
      <c r="S84" t="s">
        <v>876</v>
      </c>
      <c r="T84">
        <v>84</v>
      </c>
      <c r="U84" t="s">
        <v>877</v>
      </c>
      <c r="V84" t="s">
        <v>54</v>
      </c>
      <c r="W84" t="s">
        <v>135</v>
      </c>
      <c r="X84" t="s">
        <v>878</v>
      </c>
      <c r="Y84" t="s">
        <v>879</v>
      </c>
      <c r="Z84" t="s">
        <v>843</v>
      </c>
    </row>
    <row r="85" spans="1:26" x14ac:dyDescent="0.2">
      <c r="A85">
        <v>81</v>
      </c>
      <c r="B85" t="s">
        <v>880</v>
      </c>
      <c r="C85">
        <v>2024</v>
      </c>
      <c r="D85" t="s">
        <v>519</v>
      </c>
      <c r="E85" t="s">
        <v>881</v>
      </c>
      <c r="F85" t="s">
        <v>882</v>
      </c>
      <c r="G85" t="s">
        <v>856</v>
      </c>
      <c r="H85" t="s">
        <v>883</v>
      </c>
      <c r="K85" t="s">
        <v>179</v>
      </c>
      <c r="L85" s="1">
        <v>46120</v>
      </c>
      <c r="M85" t="s">
        <v>271</v>
      </c>
      <c r="N85">
        <v>94661</v>
      </c>
      <c r="O85" t="s">
        <v>107</v>
      </c>
      <c r="P85" t="s">
        <v>271</v>
      </c>
      <c r="Q85">
        <v>106</v>
      </c>
      <c r="T85">
        <v>86</v>
      </c>
      <c r="U85" t="s">
        <v>884</v>
      </c>
      <c r="V85" t="s">
        <v>38</v>
      </c>
      <c r="W85" t="s">
        <v>885</v>
      </c>
      <c r="X85" t="s">
        <v>886</v>
      </c>
      <c r="Y85" t="s">
        <v>887</v>
      </c>
      <c r="Z85" t="s">
        <v>888</v>
      </c>
    </row>
    <row r="86" spans="1:26" x14ac:dyDescent="0.2">
      <c r="A86">
        <v>82</v>
      </c>
      <c r="B86" t="s">
        <v>889</v>
      </c>
      <c r="C86">
        <v>1934</v>
      </c>
      <c r="D86" t="s">
        <v>234</v>
      </c>
      <c r="E86" t="s">
        <v>383</v>
      </c>
      <c r="F86" t="s">
        <v>890</v>
      </c>
      <c r="G86" t="s">
        <v>30</v>
      </c>
      <c r="H86" t="s">
        <v>891</v>
      </c>
      <c r="I86" t="s">
        <v>892</v>
      </c>
      <c r="J86" t="s">
        <v>893</v>
      </c>
      <c r="K86" t="s">
        <v>54</v>
      </c>
      <c r="L86" s="1">
        <v>46030</v>
      </c>
      <c r="M86" t="s">
        <v>228</v>
      </c>
      <c r="N86">
        <v>116269</v>
      </c>
      <c r="O86" t="s">
        <v>179</v>
      </c>
      <c r="P86" t="s">
        <v>41</v>
      </c>
      <c r="Q86">
        <v>72</v>
      </c>
      <c r="R86" t="s">
        <v>97</v>
      </c>
      <c r="S86" t="s">
        <v>894</v>
      </c>
      <c r="T86">
        <v>84</v>
      </c>
      <c r="U86" t="s">
        <v>895</v>
      </c>
      <c r="V86" t="s">
        <v>97</v>
      </c>
      <c r="W86" t="s">
        <v>75</v>
      </c>
      <c r="X86" t="s">
        <v>896</v>
      </c>
      <c r="Y86" t="s">
        <v>897</v>
      </c>
      <c r="Z86" t="s">
        <v>898</v>
      </c>
    </row>
    <row r="87" spans="1:26" x14ac:dyDescent="0.2">
      <c r="A87">
        <v>83</v>
      </c>
      <c r="B87" t="s">
        <v>899</v>
      </c>
      <c r="C87">
        <v>1991</v>
      </c>
      <c r="D87" t="s">
        <v>900</v>
      </c>
      <c r="E87" t="s">
        <v>901</v>
      </c>
      <c r="F87" t="s">
        <v>902</v>
      </c>
      <c r="G87" t="s">
        <v>30</v>
      </c>
      <c r="H87" t="s">
        <v>903</v>
      </c>
      <c r="I87" t="s">
        <v>904</v>
      </c>
      <c r="J87" t="s">
        <v>626</v>
      </c>
      <c r="K87" t="s">
        <v>54</v>
      </c>
      <c r="L87" t="s">
        <v>564</v>
      </c>
      <c r="M87" t="s">
        <v>304</v>
      </c>
      <c r="N87">
        <v>491091</v>
      </c>
      <c r="O87" t="s">
        <v>38</v>
      </c>
      <c r="P87" t="s">
        <v>97</v>
      </c>
      <c r="Q87">
        <v>102</v>
      </c>
      <c r="R87" t="s">
        <v>157</v>
      </c>
      <c r="S87" t="s">
        <v>905</v>
      </c>
      <c r="T87">
        <v>78</v>
      </c>
      <c r="U87" t="s">
        <v>906</v>
      </c>
      <c r="V87" t="s">
        <v>41</v>
      </c>
      <c r="W87" t="s">
        <v>444</v>
      </c>
      <c r="X87" t="s">
        <v>907</v>
      </c>
      <c r="Y87" t="s">
        <v>908</v>
      </c>
      <c r="Z87" t="s">
        <v>898</v>
      </c>
    </row>
    <row r="88" spans="1:26" x14ac:dyDescent="0.2">
      <c r="A88">
        <v>84</v>
      </c>
      <c r="B88" t="s">
        <v>909</v>
      </c>
      <c r="C88">
        <v>2018</v>
      </c>
      <c r="D88" t="s">
        <v>910</v>
      </c>
      <c r="E88" t="s">
        <v>911</v>
      </c>
      <c r="F88" t="s">
        <v>912</v>
      </c>
      <c r="G88" t="s">
        <v>30</v>
      </c>
      <c r="H88" t="s">
        <v>913</v>
      </c>
      <c r="K88" t="s">
        <v>54</v>
      </c>
      <c r="L88" s="1">
        <v>46120</v>
      </c>
      <c r="M88" t="s">
        <v>271</v>
      </c>
      <c r="N88">
        <v>723333</v>
      </c>
      <c r="O88" t="s">
        <v>179</v>
      </c>
      <c r="P88" t="s">
        <v>157</v>
      </c>
      <c r="Q88">
        <v>242</v>
      </c>
      <c r="R88" t="s">
        <v>41</v>
      </c>
      <c r="S88" t="s">
        <v>914</v>
      </c>
      <c r="T88">
        <v>88</v>
      </c>
      <c r="U88" t="s">
        <v>915</v>
      </c>
      <c r="V88" t="s">
        <v>204</v>
      </c>
      <c r="W88" t="s">
        <v>916</v>
      </c>
      <c r="X88" t="s">
        <v>917</v>
      </c>
      <c r="Y88" t="s">
        <v>918</v>
      </c>
      <c r="Z88" t="s">
        <v>898</v>
      </c>
    </row>
    <row r="89" spans="1:26" x14ac:dyDescent="0.2">
      <c r="A89">
        <v>85</v>
      </c>
      <c r="B89" t="s">
        <v>919</v>
      </c>
      <c r="C89">
        <v>1963</v>
      </c>
      <c r="D89" t="s">
        <v>65</v>
      </c>
      <c r="E89" t="s">
        <v>920</v>
      </c>
      <c r="F89" t="s">
        <v>921</v>
      </c>
      <c r="G89" t="s">
        <v>189</v>
      </c>
      <c r="H89" t="s">
        <v>922</v>
      </c>
      <c r="I89" t="s">
        <v>923</v>
      </c>
      <c r="J89" t="s">
        <v>924</v>
      </c>
      <c r="K89" t="s">
        <v>54</v>
      </c>
      <c r="L89" t="s">
        <v>564</v>
      </c>
      <c r="M89" t="s">
        <v>304</v>
      </c>
      <c r="N89">
        <v>128719</v>
      </c>
      <c r="O89" t="s">
        <v>34</v>
      </c>
      <c r="P89" t="s">
        <v>179</v>
      </c>
      <c r="Q89">
        <v>53</v>
      </c>
      <c r="R89" t="s">
        <v>97</v>
      </c>
      <c r="S89" t="s">
        <v>925</v>
      </c>
      <c r="T89">
        <v>86</v>
      </c>
      <c r="U89" t="s">
        <v>926</v>
      </c>
      <c r="V89" t="s">
        <v>107</v>
      </c>
      <c r="W89" t="s">
        <v>135</v>
      </c>
      <c r="X89" t="s">
        <v>927</v>
      </c>
      <c r="Y89" t="s">
        <v>928</v>
      </c>
      <c r="Z89" t="s">
        <v>898</v>
      </c>
    </row>
    <row r="90" spans="1:26" x14ac:dyDescent="0.2">
      <c r="A90">
        <v>86</v>
      </c>
      <c r="B90" t="s">
        <v>929</v>
      </c>
      <c r="C90">
        <v>2023</v>
      </c>
      <c r="D90" t="s">
        <v>910</v>
      </c>
      <c r="E90" t="s">
        <v>930</v>
      </c>
      <c r="F90" t="s">
        <v>931</v>
      </c>
      <c r="G90" t="s">
        <v>30</v>
      </c>
      <c r="H90" t="s">
        <v>932</v>
      </c>
      <c r="K90" t="s">
        <v>179</v>
      </c>
      <c r="L90" s="1">
        <v>46150</v>
      </c>
      <c r="M90" t="s">
        <v>107</v>
      </c>
      <c r="N90">
        <v>441825</v>
      </c>
      <c r="O90" t="s">
        <v>54</v>
      </c>
      <c r="P90" t="s">
        <v>54</v>
      </c>
      <c r="Q90">
        <v>222</v>
      </c>
      <c r="S90" t="s">
        <v>933</v>
      </c>
      <c r="T90">
        <v>88</v>
      </c>
      <c r="U90" t="s">
        <v>934</v>
      </c>
      <c r="V90" t="s">
        <v>157</v>
      </c>
      <c r="W90" t="s">
        <v>935</v>
      </c>
      <c r="X90" t="s">
        <v>936</v>
      </c>
      <c r="Y90" t="s">
        <v>937</v>
      </c>
      <c r="Z90" t="s">
        <v>938</v>
      </c>
    </row>
    <row r="91" spans="1:26" x14ac:dyDescent="0.2">
      <c r="A91">
        <v>87</v>
      </c>
      <c r="B91" t="s">
        <v>939</v>
      </c>
      <c r="C91">
        <v>2024</v>
      </c>
      <c r="D91" t="s">
        <v>940</v>
      </c>
      <c r="E91" t="s">
        <v>941</v>
      </c>
      <c r="F91" t="s">
        <v>942</v>
      </c>
      <c r="G91" t="s">
        <v>30</v>
      </c>
      <c r="H91" t="s">
        <v>943</v>
      </c>
      <c r="K91" t="s">
        <v>179</v>
      </c>
      <c r="L91" s="1">
        <v>46061</v>
      </c>
      <c r="M91" t="s">
        <v>250</v>
      </c>
      <c r="N91">
        <v>151761</v>
      </c>
      <c r="O91" t="s">
        <v>107</v>
      </c>
      <c r="P91" t="s">
        <v>271</v>
      </c>
      <c r="Q91">
        <v>143</v>
      </c>
      <c r="T91">
        <v>84</v>
      </c>
      <c r="U91" t="s">
        <v>944</v>
      </c>
      <c r="V91" t="s">
        <v>55</v>
      </c>
      <c r="W91" t="s">
        <v>945</v>
      </c>
      <c r="X91" t="s">
        <v>946</v>
      </c>
      <c r="Y91" t="s">
        <v>947</v>
      </c>
      <c r="Z91" t="s">
        <v>938</v>
      </c>
    </row>
    <row r="92" spans="1:26" x14ac:dyDescent="0.2">
      <c r="A92">
        <v>88</v>
      </c>
      <c r="B92" t="s">
        <v>948</v>
      </c>
      <c r="C92">
        <v>1939</v>
      </c>
      <c r="D92" t="s">
        <v>949</v>
      </c>
      <c r="E92" t="s">
        <v>950</v>
      </c>
      <c r="F92" t="s">
        <v>951</v>
      </c>
      <c r="G92" t="s">
        <v>30</v>
      </c>
      <c r="H92" t="s">
        <v>952</v>
      </c>
      <c r="I92" t="s">
        <v>953</v>
      </c>
      <c r="J92" t="s">
        <v>954</v>
      </c>
      <c r="K92" t="s">
        <v>54</v>
      </c>
      <c r="L92" s="1">
        <v>46061</v>
      </c>
      <c r="M92" t="s">
        <v>250</v>
      </c>
      <c r="N92">
        <v>344610</v>
      </c>
      <c r="O92" t="s">
        <v>56</v>
      </c>
      <c r="P92" t="s">
        <v>41</v>
      </c>
      <c r="Q92">
        <v>66</v>
      </c>
      <c r="R92" t="s">
        <v>157</v>
      </c>
      <c r="S92" t="s">
        <v>955</v>
      </c>
      <c r="T92">
        <v>78</v>
      </c>
      <c r="U92" t="s">
        <v>956</v>
      </c>
      <c r="V92" t="s">
        <v>271</v>
      </c>
      <c r="W92" t="s">
        <v>60</v>
      </c>
      <c r="X92" t="s">
        <v>957</v>
      </c>
      <c r="Y92" t="s">
        <v>958</v>
      </c>
      <c r="Z92" t="s">
        <v>959</v>
      </c>
    </row>
    <row r="93" spans="1:26" x14ac:dyDescent="0.2">
      <c r="A93">
        <v>89</v>
      </c>
      <c r="B93" t="s">
        <v>960</v>
      </c>
      <c r="C93">
        <v>1969</v>
      </c>
      <c r="D93" t="s">
        <v>186</v>
      </c>
      <c r="E93" t="s">
        <v>961</v>
      </c>
      <c r="F93" t="s">
        <v>962</v>
      </c>
      <c r="G93" t="s">
        <v>30</v>
      </c>
      <c r="H93" t="s">
        <v>963</v>
      </c>
      <c r="I93" t="s">
        <v>964</v>
      </c>
      <c r="J93" t="s">
        <v>216</v>
      </c>
      <c r="K93" t="s">
        <v>54</v>
      </c>
      <c r="L93" s="1">
        <v>46272</v>
      </c>
      <c r="M93" t="s">
        <v>484</v>
      </c>
      <c r="N93">
        <v>92654</v>
      </c>
      <c r="O93" t="s">
        <v>55</v>
      </c>
      <c r="P93" t="s">
        <v>74</v>
      </c>
      <c r="Q93">
        <v>54</v>
      </c>
      <c r="R93" t="s">
        <v>179</v>
      </c>
      <c r="S93" t="s">
        <v>965</v>
      </c>
      <c r="T93">
        <v>82</v>
      </c>
      <c r="U93" t="s">
        <v>966</v>
      </c>
      <c r="V93" t="s">
        <v>250</v>
      </c>
      <c r="W93" t="s">
        <v>75</v>
      </c>
      <c r="X93" t="s">
        <v>967</v>
      </c>
      <c r="Y93" t="s">
        <v>968</v>
      </c>
      <c r="Z93" t="s">
        <v>959</v>
      </c>
    </row>
    <row r="94" spans="1:26" x14ac:dyDescent="0.2">
      <c r="A94">
        <v>90</v>
      </c>
      <c r="B94" t="s">
        <v>969</v>
      </c>
      <c r="C94">
        <v>2000</v>
      </c>
      <c r="D94" t="s">
        <v>211</v>
      </c>
      <c r="E94" t="s">
        <v>970</v>
      </c>
      <c r="F94" t="s">
        <v>971</v>
      </c>
      <c r="G94" t="s">
        <v>972</v>
      </c>
      <c r="H94" t="s">
        <v>973</v>
      </c>
      <c r="I94" t="s">
        <v>974</v>
      </c>
      <c r="J94" t="s">
        <v>975</v>
      </c>
      <c r="K94" t="s">
        <v>107</v>
      </c>
      <c r="L94" s="1">
        <v>46030</v>
      </c>
      <c r="M94" t="s">
        <v>228</v>
      </c>
      <c r="N94">
        <v>175775</v>
      </c>
      <c r="O94" t="s">
        <v>179</v>
      </c>
      <c r="P94" t="s">
        <v>250</v>
      </c>
      <c r="Q94">
        <v>87</v>
      </c>
      <c r="R94" t="s">
        <v>41</v>
      </c>
      <c r="S94" t="s">
        <v>976</v>
      </c>
      <c r="T94">
        <v>88</v>
      </c>
      <c r="U94" t="s">
        <v>977</v>
      </c>
      <c r="V94" t="s">
        <v>74</v>
      </c>
      <c r="W94" t="s">
        <v>978</v>
      </c>
      <c r="X94" t="s">
        <v>979</v>
      </c>
      <c r="Y94" t="s">
        <v>980</v>
      </c>
      <c r="Z94" t="s">
        <v>959</v>
      </c>
    </row>
    <row r="95" spans="1:26" x14ac:dyDescent="0.2">
      <c r="A95">
        <v>91</v>
      </c>
      <c r="B95" t="s">
        <v>981</v>
      </c>
      <c r="C95">
        <v>2010</v>
      </c>
      <c r="D95" t="s">
        <v>982</v>
      </c>
      <c r="E95" t="s">
        <v>983</v>
      </c>
      <c r="F95" t="s">
        <v>984</v>
      </c>
      <c r="G95" t="s">
        <v>30</v>
      </c>
      <c r="H95" t="s">
        <v>985</v>
      </c>
      <c r="I95" t="s">
        <v>986</v>
      </c>
      <c r="J95" t="s">
        <v>145</v>
      </c>
      <c r="K95" t="s">
        <v>54</v>
      </c>
      <c r="L95" s="1">
        <v>46089</v>
      </c>
      <c r="M95" t="s">
        <v>204</v>
      </c>
      <c r="N95">
        <v>926157</v>
      </c>
      <c r="O95" t="s">
        <v>35</v>
      </c>
      <c r="P95" t="s">
        <v>41</v>
      </c>
      <c r="Q95">
        <v>218</v>
      </c>
      <c r="R95" t="s">
        <v>54</v>
      </c>
      <c r="S95" t="s">
        <v>987</v>
      </c>
      <c r="T95">
        <v>80</v>
      </c>
      <c r="U95" t="s">
        <v>988</v>
      </c>
      <c r="V95" t="s">
        <v>157</v>
      </c>
      <c r="W95" t="s">
        <v>444</v>
      </c>
      <c r="X95" t="s">
        <v>989</v>
      </c>
      <c r="Y95" t="s">
        <v>990</v>
      </c>
      <c r="Z95" t="s">
        <v>959</v>
      </c>
    </row>
    <row r="96" spans="1:26" x14ac:dyDescent="0.2">
      <c r="A96">
        <v>92</v>
      </c>
      <c r="B96" t="s">
        <v>991</v>
      </c>
      <c r="C96">
        <v>1998</v>
      </c>
      <c r="D96" t="s">
        <v>992</v>
      </c>
      <c r="E96" t="s">
        <v>993</v>
      </c>
      <c r="F96" t="s">
        <v>994</v>
      </c>
      <c r="G96" t="s">
        <v>30</v>
      </c>
      <c r="H96" t="s">
        <v>995</v>
      </c>
      <c r="I96" t="s">
        <v>996</v>
      </c>
      <c r="J96" t="s">
        <v>33</v>
      </c>
      <c r="K96" t="s">
        <v>54</v>
      </c>
      <c r="L96" s="1">
        <v>46061</v>
      </c>
      <c r="M96" t="s">
        <v>250</v>
      </c>
      <c r="N96">
        <v>1267347</v>
      </c>
      <c r="O96" t="s">
        <v>41</v>
      </c>
      <c r="P96" t="s">
        <v>54</v>
      </c>
      <c r="Q96">
        <v>108</v>
      </c>
      <c r="R96" t="s">
        <v>179</v>
      </c>
      <c r="S96" t="s">
        <v>997</v>
      </c>
      <c r="T96">
        <v>84</v>
      </c>
      <c r="U96" t="s">
        <v>998</v>
      </c>
      <c r="V96" t="s">
        <v>41</v>
      </c>
      <c r="W96" t="s">
        <v>780</v>
      </c>
      <c r="X96" t="s">
        <v>999</v>
      </c>
      <c r="Y96" t="s">
        <v>1000</v>
      </c>
      <c r="Z96" t="s">
        <v>959</v>
      </c>
    </row>
    <row r="97" spans="1:26" x14ac:dyDescent="0.2">
      <c r="A97">
        <v>93</v>
      </c>
      <c r="B97" t="s">
        <v>1001</v>
      </c>
      <c r="C97">
        <v>1996</v>
      </c>
      <c r="D97" t="s">
        <v>571</v>
      </c>
      <c r="E97" t="s">
        <v>1002</v>
      </c>
      <c r="F97" t="s">
        <v>1003</v>
      </c>
      <c r="G97" t="s">
        <v>30</v>
      </c>
      <c r="H97" t="s">
        <v>1004</v>
      </c>
      <c r="I97" t="s">
        <v>1005</v>
      </c>
      <c r="J97" t="s">
        <v>239</v>
      </c>
      <c r="K97" t="s">
        <v>54</v>
      </c>
      <c r="L97" s="1">
        <v>46030</v>
      </c>
      <c r="M97" t="s">
        <v>228</v>
      </c>
      <c r="N97">
        <v>751771</v>
      </c>
      <c r="O97" t="s">
        <v>157</v>
      </c>
      <c r="P97" t="s">
        <v>157</v>
      </c>
      <c r="Q97">
        <v>72</v>
      </c>
      <c r="R97" t="s">
        <v>97</v>
      </c>
      <c r="S97" t="s">
        <v>1006</v>
      </c>
      <c r="T97">
        <v>84</v>
      </c>
      <c r="U97" t="s">
        <v>1007</v>
      </c>
      <c r="V97" t="s">
        <v>97</v>
      </c>
      <c r="W97" t="s">
        <v>75</v>
      </c>
      <c r="X97" t="s">
        <v>1008</v>
      </c>
      <c r="Y97" t="s">
        <v>1009</v>
      </c>
      <c r="Z97" t="s">
        <v>959</v>
      </c>
    </row>
    <row r="98" spans="1:26" x14ac:dyDescent="0.2">
      <c r="A98">
        <v>94</v>
      </c>
      <c r="B98" t="s">
        <v>1010</v>
      </c>
      <c r="C98">
        <v>2018</v>
      </c>
      <c r="D98" t="s">
        <v>1011</v>
      </c>
      <c r="E98" t="s">
        <v>1012</v>
      </c>
      <c r="F98" t="s">
        <v>1013</v>
      </c>
      <c r="G98" t="s">
        <v>50</v>
      </c>
      <c r="H98" t="s">
        <v>1014</v>
      </c>
      <c r="K98" t="s">
        <v>54</v>
      </c>
      <c r="L98" s="1">
        <v>46272</v>
      </c>
      <c r="M98" t="s">
        <v>484</v>
      </c>
      <c r="N98">
        <v>91034</v>
      </c>
      <c r="O98" t="s">
        <v>34</v>
      </c>
      <c r="P98" t="s">
        <v>97</v>
      </c>
      <c r="Q98">
        <v>147</v>
      </c>
      <c r="R98" t="s">
        <v>157</v>
      </c>
      <c r="S98" t="s">
        <v>1015</v>
      </c>
      <c r="T98">
        <v>86</v>
      </c>
      <c r="U98" t="s">
        <v>1016</v>
      </c>
      <c r="V98" t="s">
        <v>271</v>
      </c>
      <c r="W98" t="s">
        <v>75</v>
      </c>
      <c r="X98" t="s">
        <v>1017</v>
      </c>
      <c r="Y98" t="s">
        <v>1018</v>
      </c>
      <c r="Z98" t="s">
        <v>959</v>
      </c>
    </row>
    <row r="99" spans="1:26" x14ac:dyDescent="0.2">
      <c r="A99">
        <v>95</v>
      </c>
      <c r="B99" t="s">
        <v>1019</v>
      </c>
      <c r="C99">
        <v>2007</v>
      </c>
      <c r="D99" t="s">
        <v>571</v>
      </c>
      <c r="E99" t="s">
        <v>1020</v>
      </c>
      <c r="F99" t="s">
        <v>1021</v>
      </c>
      <c r="G99" t="s">
        <v>30</v>
      </c>
      <c r="H99" t="s">
        <v>1022</v>
      </c>
      <c r="I99" t="s">
        <v>1023</v>
      </c>
      <c r="J99" t="s">
        <v>118</v>
      </c>
      <c r="K99" t="s">
        <v>179</v>
      </c>
      <c r="L99" s="1">
        <v>46061</v>
      </c>
      <c r="M99" t="s">
        <v>250</v>
      </c>
      <c r="N99">
        <v>1113836</v>
      </c>
      <c r="O99" t="s">
        <v>35</v>
      </c>
      <c r="P99" t="s">
        <v>97</v>
      </c>
      <c r="Q99">
        <v>206</v>
      </c>
      <c r="R99" t="s">
        <v>271</v>
      </c>
      <c r="S99" t="s">
        <v>1024</v>
      </c>
      <c r="T99">
        <v>86</v>
      </c>
      <c r="U99" t="s">
        <v>1025</v>
      </c>
      <c r="V99" t="s">
        <v>107</v>
      </c>
      <c r="W99" t="s">
        <v>1026</v>
      </c>
      <c r="X99" t="s">
        <v>1027</v>
      </c>
      <c r="Y99" t="s">
        <v>1028</v>
      </c>
      <c r="Z99" t="s">
        <v>1029</v>
      </c>
    </row>
    <row r="100" spans="1:26" x14ac:dyDescent="0.2">
      <c r="A100">
        <v>96</v>
      </c>
      <c r="B100" t="s">
        <v>1030</v>
      </c>
      <c r="C100">
        <v>1986</v>
      </c>
      <c r="D100" t="s">
        <v>1031</v>
      </c>
      <c r="E100" t="s">
        <v>1032</v>
      </c>
      <c r="F100" t="s">
        <v>1033</v>
      </c>
      <c r="G100" t="s">
        <v>30</v>
      </c>
      <c r="H100" t="s">
        <v>1034</v>
      </c>
      <c r="I100" t="s">
        <v>1035</v>
      </c>
      <c r="J100" t="s">
        <v>1036</v>
      </c>
      <c r="K100" t="s">
        <v>54</v>
      </c>
      <c r="L100" s="1">
        <v>46120</v>
      </c>
      <c r="M100" t="s">
        <v>271</v>
      </c>
      <c r="N100">
        <v>804533</v>
      </c>
      <c r="O100" t="s">
        <v>271</v>
      </c>
      <c r="P100" t="s">
        <v>157</v>
      </c>
      <c r="Q100">
        <v>99</v>
      </c>
      <c r="R100" t="s">
        <v>41</v>
      </c>
      <c r="S100" t="s">
        <v>1037</v>
      </c>
      <c r="T100">
        <v>82</v>
      </c>
      <c r="U100" t="s">
        <v>1038</v>
      </c>
      <c r="V100" t="s">
        <v>41</v>
      </c>
      <c r="W100" t="s">
        <v>555</v>
      </c>
      <c r="X100" t="s">
        <v>1039</v>
      </c>
      <c r="Y100" t="s">
        <v>1040</v>
      </c>
      <c r="Z100" t="s">
        <v>1029</v>
      </c>
    </row>
    <row r="101" spans="1:26" x14ac:dyDescent="0.2">
      <c r="A101">
        <v>97</v>
      </c>
      <c r="B101" t="s">
        <v>1041</v>
      </c>
      <c r="C101">
        <v>1960</v>
      </c>
      <c r="D101" t="s">
        <v>992</v>
      </c>
      <c r="E101" t="s">
        <v>920</v>
      </c>
      <c r="F101" t="s">
        <v>1042</v>
      </c>
      <c r="G101" t="s">
        <v>189</v>
      </c>
      <c r="H101" t="s">
        <v>1043</v>
      </c>
      <c r="I101" t="s">
        <v>1044</v>
      </c>
      <c r="J101" t="s">
        <v>1045</v>
      </c>
      <c r="K101" t="s">
        <v>54</v>
      </c>
      <c r="L101" t="s">
        <v>564</v>
      </c>
      <c r="M101" t="s">
        <v>304</v>
      </c>
      <c r="N101">
        <v>82147</v>
      </c>
      <c r="O101" t="s">
        <v>38</v>
      </c>
      <c r="P101" t="s">
        <v>35</v>
      </c>
      <c r="Q101">
        <v>66</v>
      </c>
      <c r="R101" t="s">
        <v>179</v>
      </c>
      <c r="S101" t="s">
        <v>1046</v>
      </c>
      <c r="T101">
        <v>86</v>
      </c>
      <c r="U101" t="s">
        <v>1047</v>
      </c>
      <c r="V101" t="s">
        <v>757</v>
      </c>
      <c r="X101" t="s">
        <v>1048</v>
      </c>
      <c r="Y101" t="s">
        <v>1049</v>
      </c>
      <c r="Z101" t="s">
        <v>1029</v>
      </c>
    </row>
    <row r="102" spans="1:26" x14ac:dyDescent="0.2">
      <c r="A102">
        <v>98</v>
      </c>
      <c r="B102" t="s">
        <v>1050</v>
      </c>
      <c r="C102">
        <v>1968</v>
      </c>
      <c r="D102" t="s">
        <v>1051</v>
      </c>
      <c r="E102" t="s">
        <v>187</v>
      </c>
      <c r="F102" t="s">
        <v>1052</v>
      </c>
      <c r="G102" t="s">
        <v>189</v>
      </c>
      <c r="H102" t="s">
        <v>1053</v>
      </c>
      <c r="I102" t="s">
        <v>1054</v>
      </c>
      <c r="J102" t="s">
        <v>33</v>
      </c>
      <c r="K102" t="s">
        <v>54</v>
      </c>
      <c r="L102" s="1">
        <v>46150</v>
      </c>
      <c r="M102" t="s">
        <v>107</v>
      </c>
      <c r="N102">
        <v>365674</v>
      </c>
      <c r="O102" t="s">
        <v>250</v>
      </c>
      <c r="P102" t="s">
        <v>97</v>
      </c>
      <c r="Q102">
        <v>61</v>
      </c>
      <c r="R102" t="s">
        <v>35</v>
      </c>
      <c r="S102" t="s">
        <v>1055</v>
      </c>
      <c r="T102">
        <v>88</v>
      </c>
      <c r="U102" t="s">
        <v>1056</v>
      </c>
      <c r="V102" t="s">
        <v>250</v>
      </c>
      <c r="W102" t="s">
        <v>42</v>
      </c>
      <c r="X102" t="s">
        <v>1057</v>
      </c>
      <c r="Y102" t="s">
        <v>1058</v>
      </c>
      <c r="Z102" t="s">
        <v>1029</v>
      </c>
    </row>
    <row r="103" spans="1:26" x14ac:dyDescent="0.2">
      <c r="A103">
        <v>99</v>
      </c>
      <c r="B103" t="s">
        <v>1059</v>
      </c>
      <c r="C103">
        <v>1926</v>
      </c>
      <c r="D103" t="s">
        <v>1060</v>
      </c>
      <c r="E103" t="s">
        <v>1061</v>
      </c>
      <c r="F103" t="s">
        <v>1062</v>
      </c>
      <c r="G103" t="s">
        <v>30</v>
      </c>
      <c r="H103" t="s">
        <v>1063</v>
      </c>
      <c r="I103" t="s">
        <v>1064</v>
      </c>
      <c r="J103" t="s">
        <v>1065</v>
      </c>
      <c r="K103" t="s">
        <v>54</v>
      </c>
      <c r="L103" s="1">
        <v>46030</v>
      </c>
      <c r="M103" t="s">
        <v>228</v>
      </c>
      <c r="N103">
        <v>101941</v>
      </c>
      <c r="P103" t="s">
        <v>34</v>
      </c>
      <c r="Q103">
        <v>52</v>
      </c>
      <c r="R103" t="s">
        <v>97</v>
      </c>
      <c r="S103" t="s">
        <v>1066</v>
      </c>
      <c r="T103">
        <v>84</v>
      </c>
      <c r="U103" t="s">
        <v>1067</v>
      </c>
      <c r="V103" t="s">
        <v>271</v>
      </c>
      <c r="W103" t="s">
        <v>660</v>
      </c>
      <c r="X103" t="s">
        <v>1068</v>
      </c>
      <c r="Y103" t="s">
        <v>1069</v>
      </c>
      <c r="Z103" t="s">
        <v>1070</v>
      </c>
    </row>
    <row r="104" spans="1:26" x14ac:dyDescent="0.2">
      <c r="A104">
        <v>100</v>
      </c>
      <c r="B104" t="s">
        <v>1071</v>
      </c>
      <c r="C104">
        <v>1972</v>
      </c>
      <c r="D104" t="s">
        <v>1072</v>
      </c>
      <c r="E104" t="s">
        <v>1073</v>
      </c>
      <c r="F104" t="s">
        <v>1074</v>
      </c>
      <c r="G104" t="s">
        <v>1075</v>
      </c>
      <c r="H104" t="s">
        <v>1076</v>
      </c>
      <c r="I104" t="s">
        <v>1077</v>
      </c>
      <c r="J104" t="s">
        <v>1078</v>
      </c>
      <c r="K104" t="s">
        <v>54</v>
      </c>
      <c r="L104" s="1">
        <v>46272</v>
      </c>
      <c r="M104" t="s">
        <v>484</v>
      </c>
      <c r="N104">
        <v>101413</v>
      </c>
      <c r="O104" t="s">
        <v>34</v>
      </c>
      <c r="P104" t="s">
        <v>157</v>
      </c>
      <c r="Q104">
        <v>62</v>
      </c>
      <c r="R104" t="s">
        <v>179</v>
      </c>
      <c r="S104" t="s">
        <v>1079</v>
      </c>
      <c r="T104">
        <v>84</v>
      </c>
      <c r="U104" t="s">
        <v>1080</v>
      </c>
      <c r="V104" t="s">
        <v>54</v>
      </c>
      <c r="W104" t="s">
        <v>135</v>
      </c>
      <c r="X104" t="s">
        <v>1081</v>
      </c>
      <c r="Y104" t="s">
        <v>1082</v>
      </c>
      <c r="Z104" t="s">
        <v>1083</v>
      </c>
    </row>
    <row r="105" spans="1:26" x14ac:dyDescent="0.2">
      <c r="A105">
        <v>101</v>
      </c>
      <c r="B105" t="s">
        <v>1084</v>
      </c>
      <c r="C105">
        <v>1986</v>
      </c>
      <c r="D105" t="s">
        <v>1085</v>
      </c>
      <c r="E105" t="s">
        <v>1086</v>
      </c>
      <c r="F105" t="s">
        <v>1087</v>
      </c>
      <c r="G105" t="s">
        <v>30</v>
      </c>
      <c r="H105" t="s">
        <v>1088</v>
      </c>
      <c r="I105" t="s">
        <v>1089</v>
      </c>
      <c r="J105" t="s">
        <v>1090</v>
      </c>
      <c r="K105" t="s">
        <v>107</v>
      </c>
      <c r="L105" s="1">
        <v>46030</v>
      </c>
      <c r="M105" t="s">
        <v>228</v>
      </c>
      <c r="N105">
        <v>453374</v>
      </c>
      <c r="O105" t="s">
        <v>35</v>
      </c>
      <c r="P105" t="s">
        <v>179</v>
      </c>
      <c r="Q105">
        <v>77</v>
      </c>
      <c r="R105" t="s">
        <v>97</v>
      </c>
      <c r="S105" t="s">
        <v>1091</v>
      </c>
      <c r="T105">
        <v>80</v>
      </c>
      <c r="U105" t="s">
        <v>1092</v>
      </c>
      <c r="V105" t="s">
        <v>157</v>
      </c>
      <c r="W105" t="s">
        <v>253</v>
      </c>
      <c r="Y105" t="s">
        <v>1093</v>
      </c>
      <c r="Z105" t="s">
        <v>1083</v>
      </c>
    </row>
    <row r="106" spans="1:26" x14ac:dyDescent="0.2">
      <c r="A106">
        <v>102</v>
      </c>
      <c r="B106" t="s">
        <v>1094</v>
      </c>
      <c r="C106">
        <v>2015</v>
      </c>
      <c r="D106" t="s">
        <v>519</v>
      </c>
      <c r="E106" t="s">
        <v>1095</v>
      </c>
      <c r="F106" t="s">
        <v>1096</v>
      </c>
      <c r="G106" t="s">
        <v>30</v>
      </c>
      <c r="H106" t="s">
        <v>1097</v>
      </c>
      <c r="I106" t="s">
        <v>1064</v>
      </c>
      <c r="J106" t="s">
        <v>1098</v>
      </c>
      <c r="K106" t="s">
        <v>107</v>
      </c>
      <c r="L106" s="1">
        <v>46030</v>
      </c>
      <c r="M106" t="s">
        <v>228</v>
      </c>
      <c r="N106">
        <v>516632</v>
      </c>
      <c r="O106" t="s">
        <v>34</v>
      </c>
      <c r="P106" t="s">
        <v>97</v>
      </c>
      <c r="Q106">
        <v>226</v>
      </c>
      <c r="R106" t="s">
        <v>97</v>
      </c>
      <c r="S106" t="s">
        <v>1099</v>
      </c>
      <c r="T106">
        <v>82</v>
      </c>
      <c r="U106" t="s">
        <v>1100</v>
      </c>
      <c r="V106" t="s">
        <v>204</v>
      </c>
      <c r="W106" t="s">
        <v>135</v>
      </c>
      <c r="X106" t="s">
        <v>1101</v>
      </c>
      <c r="Y106" t="s">
        <v>1102</v>
      </c>
      <c r="Z106" t="s">
        <v>1083</v>
      </c>
    </row>
    <row r="107" spans="1:26" x14ac:dyDescent="0.2">
      <c r="A107">
        <v>103</v>
      </c>
      <c r="B107" t="s">
        <v>1103</v>
      </c>
      <c r="C107">
        <v>1994</v>
      </c>
      <c r="D107" t="s">
        <v>126</v>
      </c>
      <c r="E107" t="s">
        <v>584</v>
      </c>
      <c r="F107" t="s">
        <v>1104</v>
      </c>
      <c r="G107" t="s">
        <v>30</v>
      </c>
      <c r="H107" t="s">
        <v>1105</v>
      </c>
      <c r="I107" t="s">
        <v>1106</v>
      </c>
      <c r="J107" t="s">
        <v>33</v>
      </c>
      <c r="K107" t="s">
        <v>107</v>
      </c>
      <c r="L107" s="1">
        <v>46242</v>
      </c>
      <c r="M107" t="s">
        <v>157</v>
      </c>
      <c r="N107">
        <v>2362620</v>
      </c>
      <c r="O107" t="s">
        <v>250</v>
      </c>
      <c r="P107" t="s">
        <v>484</v>
      </c>
      <c r="Q107">
        <v>87</v>
      </c>
      <c r="R107" t="s">
        <v>35</v>
      </c>
      <c r="S107" t="s">
        <v>1107</v>
      </c>
      <c r="T107">
        <v>82</v>
      </c>
      <c r="U107" t="s">
        <v>1108</v>
      </c>
      <c r="V107" t="s">
        <v>57</v>
      </c>
      <c r="W107" t="s">
        <v>42</v>
      </c>
      <c r="X107" t="s">
        <v>1109</v>
      </c>
      <c r="Y107" t="s">
        <v>1110</v>
      </c>
      <c r="Z107" t="s">
        <v>1083</v>
      </c>
    </row>
    <row r="108" spans="1:26" x14ac:dyDescent="0.2">
      <c r="A108">
        <v>104</v>
      </c>
      <c r="B108" t="s">
        <v>1111</v>
      </c>
      <c r="C108">
        <v>2016</v>
      </c>
      <c r="D108" t="s">
        <v>1112</v>
      </c>
      <c r="E108" t="s">
        <v>1113</v>
      </c>
      <c r="F108" t="s">
        <v>1114</v>
      </c>
      <c r="G108" t="s">
        <v>50</v>
      </c>
      <c r="H108" t="s">
        <v>1115</v>
      </c>
      <c r="K108" t="s">
        <v>107</v>
      </c>
      <c r="L108" s="1">
        <v>46120</v>
      </c>
      <c r="M108" t="s">
        <v>271</v>
      </c>
      <c r="N108">
        <v>352028</v>
      </c>
      <c r="O108" t="s">
        <v>228</v>
      </c>
      <c r="P108" t="s">
        <v>250</v>
      </c>
      <c r="Q108">
        <v>94</v>
      </c>
      <c r="R108" t="s">
        <v>74</v>
      </c>
      <c r="S108" t="s">
        <v>1116</v>
      </c>
      <c r="T108">
        <v>84</v>
      </c>
      <c r="U108" t="s">
        <v>1117</v>
      </c>
      <c r="V108" t="s">
        <v>38</v>
      </c>
      <c r="W108" t="s">
        <v>75</v>
      </c>
      <c r="X108" t="s">
        <v>1118</v>
      </c>
      <c r="Y108" t="s">
        <v>1119</v>
      </c>
      <c r="Z108" t="s">
        <v>1083</v>
      </c>
    </row>
    <row r="109" spans="1:26" x14ac:dyDescent="0.2">
      <c r="A109">
        <v>105</v>
      </c>
      <c r="B109" t="s">
        <v>1120</v>
      </c>
      <c r="C109">
        <v>2003</v>
      </c>
      <c r="D109" t="s">
        <v>571</v>
      </c>
      <c r="E109" t="s">
        <v>153</v>
      </c>
      <c r="F109" t="s">
        <v>1121</v>
      </c>
      <c r="G109" t="s">
        <v>155</v>
      </c>
      <c r="H109" t="s">
        <v>1122</v>
      </c>
      <c r="I109" t="s">
        <v>1123</v>
      </c>
      <c r="J109" t="s">
        <v>1124</v>
      </c>
      <c r="K109" t="s">
        <v>107</v>
      </c>
      <c r="L109" s="1">
        <v>46030</v>
      </c>
      <c r="M109" t="s">
        <v>228</v>
      </c>
      <c r="N109">
        <v>237542</v>
      </c>
      <c r="O109" t="s">
        <v>250</v>
      </c>
      <c r="P109" t="s">
        <v>250</v>
      </c>
      <c r="Q109">
        <v>68</v>
      </c>
      <c r="R109" t="s">
        <v>41</v>
      </c>
      <c r="S109" t="s">
        <v>1125</v>
      </c>
      <c r="T109">
        <v>88</v>
      </c>
      <c r="U109" t="s">
        <v>1126</v>
      </c>
      <c r="V109" t="s">
        <v>57</v>
      </c>
      <c r="W109" t="s">
        <v>1127</v>
      </c>
      <c r="X109" t="s">
        <v>1128</v>
      </c>
      <c r="Y109" t="s">
        <v>1129</v>
      </c>
      <c r="Z109" t="s">
        <v>1083</v>
      </c>
    </row>
    <row r="110" spans="1:26" x14ac:dyDescent="0.2">
      <c r="A110">
        <v>106</v>
      </c>
      <c r="B110" t="s">
        <v>1130</v>
      </c>
      <c r="C110">
        <v>1939</v>
      </c>
      <c r="D110" t="s">
        <v>1131</v>
      </c>
      <c r="E110" t="s">
        <v>950</v>
      </c>
      <c r="F110" t="s">
        <v>1132</v>
      </c>
      <c r="G110" t="s">
        <v>30</v>
      </c>
      <c r="H110" t="s">
        <v>1133</v>
      </c>
      <c r="I110" t="s">
        <v>1134</v>
      </c>
      <c r="J110" t="s">
        <v>216</v>
      </c>
      <c r="K110" t="s">
        <v>54</v>
      </c>
      <c r="L110" s="1">
        <v>46030</v>
      </c>
      <c r="M110" t="s">
        <v>228</v>
      </c>
      <c r="N110">
        <v>447805</v>
      </c>
      <c r="O110" t="s">
        <v>35</v>
      </c>
      <c r="P110" t="s">
        <v>57</v>
      </c>
      <c r="Q110">
        <v>104</v>
      </c>
      <c r="R110" t="s">
        <v>107</v>
      </c>
      <c r="S110" t="s">
        <v>1135</v>
      </c>
      <c r="T110">
        <v>80</v>
      </c>
      <c r="U110" t="s">
        <v>1136</v>
      </c>
      <c r="V110" t="s">
        <v>107</v>
      </c>
      <c r="W110" t="s">
        <v>1137</v>
      </c>
      <c r="X110" t="s">
        <v>1138</v>
      </c>
      <c r="Y110" t="s">
        <v>1139</v>
      </c>
      <c r="Z110" t="s">
        <v>1083</v>
      </c>
    </row>
    <row r="111" spans="1:26" x14ac:dyDescent="0.2">
      <c r="A111">
        <v>107</v>
      </c>
      <c r="B111" t="s">
        <v>1140</v>
      </c>
      <c r="C111">
        <v>1953</v>
      </c>
      <c r="D111" t="s">
        <v>1141</v>
      </c>
      <c r="E111" t="s">
        <v>1142</v>
      </c>
      <c r="F111" t="s">
        <v>1143</v>
      </c>
      <c r="G111" t="s">
        <v>321</v>
      </c>
      <c r="H111" t="s">
        <v>1144</v>
      </c>
      <c r="I111" t="s">
        <v>1145</v>
      </c>
      <c r="J111" t="s">
        <v>687</v>
      </c>
      <c r="K111" t="s">
        <v>107</v>
      </c>
      <c r="L111" s="1">
        <v>46030</v>
      </c>
      <c r="M111" t="s">
        <v>228</v>
      </c>
      <c r="N111">
        <v>69739</v>
      </c>
      <c r="O111" t="s">
        <v>107</v>
      </c>
      <c r="P111" t="s">
        <v>97</v>
      </c>
      <c r="Q111">
        <v>52</v>
      </c>
      <c r="R111" t="s">
        <v>74</v>
      </c>
      <c r="S111" t="s">
        <v>1146</v>
      </c>
      <c r="T111">
        <v>86</v>
      </c>
      <c r="U111" t="s">
        <v>1147</v>
      </c>
      <c r="V111" t="s">
        <v>271</v>
      </c>
      <c r="W111" t="s">
        <v>1148</v>
      </c>
      <c r="X111" t="s">
        <v>1149</v>
      </c>
      <c r="Y111" t="s">
        <v>1150</v>
      </c>
      <c r="Z111" t="s">
        <v>54</v>
      </c>
    </row>
    <row r="112" spans="1:26" x14ac:dyDescent="0.2">
      <c r="A112">
        <v>108</v>
      </c>
      <c r="B112" t="s">
        <v>1151</v>
      </c>
      <c r="C112">
        <v>1971</v>
      </c>
      <c r="D112" t="s">
        <v>211</v>
      </c>
      <c r="E112" t="s">
        <v>1152</v>
      </c>
      <c r="F112" t="s">
        <v>1153</v>
      </c>
      <c r="G112" t="s">
        <v>30</v>
      </c>
      <c r="H112" t="s">
        <v>1154</v>
      </c>
      <c r="I112" t="s">
        <v>1155</v>
      </c>
      <c r="J112" t="s">
        <v>53</v>
      </c>
      <c r="K112" t="s">
        <v>54</v>
      </c>
      <c r="L112" t="s">
        <v>564</v>
      </c>
      <c r="M112" t="s">
        <v>304</v>
      </c>
      <c r="N112">
        <v>54647</v>
      </c>
      <c r="O112" t="s">
        <v>34</v>
      </c>
      <c r="P112" t="s">
        <v>35</v>
      </c>
      <c r="Q112">
        <v>69</v>
      </c>
      <c r="R112" t="s">
        <v>54</v>
      </c>
      <c r="S112" t="s">
        <v>1156</v>
      </c>
      <c r="T112">
        <v>84</v>
      </c>
      <c r="U112" t="s">
        <v>1157</v>
      </c>
      <c r="V112" t="s">
        <v>228</v>
      </c>
      <c r="W112" t="s">
        <v>75</v>
      </c>
      <c r="X112" t="s">
        <v>1158</v>
      </c>
      <c r="Y112" t="s">
        <v>1159</v>
      </c>
      <c r="Z112" t="s">
        <v>54</v>
      </c>
    </row>
    <row r="113" spans="1:26" x14ac:dyDescent="0.2">
      <c r="A113">
        <v>109</v>
      </c>
      <c r="B113" t="s">
        <v>1160</v>
      </c>
      <c r="C113">
        <v>2016</v>
      </c>
      <c r="D113" t="s">
        <v>1161</v>
      </c>
      <c r="E113" t="s">
        <v>1162</v>
      </c>
      <c r="F113" t="s">
        <v>1163</v>
      </c>
      <c r="G113" t="s">
        <v>30</v>
      </c>
      <c r="H113" t="s">
        <v>1164</v>
      </c>
      <c r="K113" t="s">
        <v>179</v>
      </c>
      <c r="L113" s="1">
        <v>46272</v>
      </c>
      <c r="M113" t="s">
        <v>484</v>
      </c>
      <c r="N113">
        <v>24118</v>
      </c>
      <c r="O113" t="s">
        <v>38</v>
      </c>
      <c r="P113" t="s">
        <v>74</v>
      </c>
      <c r="Q113">
        <v>127</v>
      </c>
      <c r="R113" t="s">
        <v>228</v>
      </c>
      <c r="S113" t="s">
        <v>1165</v>
      </c>
      <c r="T113">
        <v>84</v>
      </c>
      <c r="U113" t="s">
        <v>1166</v>
      </c>
      <c r="V113" t="s">
        <v>54</v>
      </c>
      <c r="W113" t="s">
        <v>75</v>
      </c>
      <c r="X113" t="s">
        <v>1167</v>
      </c>
      <c r="Y113" t="s">
        <v>1168</v>
      </c>
      <c r="Z113" t="s">
        <v>54</v>
      </c>
    </row>
    <row r="114" spans="1:26" x14ac:dyDescent="0.2">
      <c r="A114">
        <v>110</v>
      </c>
      <c r="B114" t="s">
        <v>1169</v>
      </c>
      <c r="C114">
        <v>2012</v>
      </c>
      <c r="D114" t="s">
        <v>1161</v>
      </c>
      <c r="E114" t="s">
        <v>1170</v>
      </c>
      <c r="F114" t="s">
        <v>1171</v>
      </c>
      <c r="G114" t="s">
        <v>1172</v>
      </c>
      <c r="H114" t="s">
        <v>1173</v>
      </c>
      <c r="I114" t="s">
        <v>1174</v>
      </c>
      <c r="J114" t="s">
        <v>1175</v>
      </c>
      <c r="K114" t="s">
        <v>54</v>
      </c>
      <c r="L114" s="1">
        <v>46061</v>
      </c>
      <c r="M114" t="s">
        <v>250</v>
      </c>
      <c r="N114">
        <v>42189</v>
      </c>
      <c r="O114" t="s">
        <v>35</v>
      </c>
      <c r="P114" t="s">
        <v>97</v>
      </c>
      <c r="Q114">
        <v>112</v>
      </c>
      <c r="R114" t="s">
        <v>204</v>
      </c>
      <c r="S114" t="s">
        <v>1176</v>
      </c>
      <c r="T114">
        <v>88</v>
      </c>
      <c r="U114" t="s">
        <v>1177</v>
      </c>
      <c r="V114" t="s">
        <v>250</v>
      </c>
      <c r="W114" t="s">
        <v>75</v>
      </c>
      <c r="Y114" t="s">
        <v>1178</v>
      </c>
      <c r="Z114" t="s">
        <v>54</v>
      </c>
    </row>
    <row r="115" spans="1:26" x14ac:dyDescent="0.2">
      <c r="A115">
        <v>111</v>
      </c>
      <c r="B115" t="s">
        <v>1179</v>
      </c>
      <c r="C115">
        <v>1920</v>
      </c>
      <c r="D115" t="s">
        <v>1180</v>
      </c>
      <c r="E115" t="s">
        <v>1181</v>
      </c>
      <c r="F115" t="s">
        <v>1182</v>
      </c>
      <c r="G115" t="s">
        <v>374</v>
      </c>
      <c r="H115" t="s">
        <v>1183</v>
      </c>
      <c r="J115" t="s">
        <v>227</v>
      </c>
      <c r="K115" t="s">
        <v>107</v>
      </c>
      <c r="L115" t="s">
        <v>564</v>
      </c>
      <c r="M115" t="s">
        <v>304</v>
      </c>
      <c r="N115">
        <v>73119</v>
      </c>
      <c r="P115" t="s">
        <v>34</v>
      </c>
      <c r="Q115">
        <v>75</v>
      </c>
      <c r="R115" t="s">
        <v>54</v>
      </c>
      <c r="S115" t="s">
        <v>1184</v>
      </c>
      <c r="T115">
        <v>82</v>
      </c>
      <c r="U115" t="s">
        <v>1185</v>
      </c>
      <c r="V115" t="s">
        <v>97</v>
      </c>
      <c r="W115" t="s">
        <v>1186</v>
      </c>
      <c r="X115" t="s">
        <v>1187</v>
      </c>
      <c r="Y115" t="s">
        <v>1188</v>
      </c>
      <c r="Z115" t="s">
        <v>54</v>
      </c>
    </row>
    <row r="116" spans="1:26" x14ac:dyDescent="0.2">
      <c r="A116">
        <v>112</v>
      </c>
      <c r="B116" t="s">
        <v>1189</v>
      </c>
      <c r="C116">
        <v>1992</v>
      </c>
      <c r="D116" t="s">
        <v>278</v>
      </c>
      <c r="E116" t="s">
        <v>114</v>
      </c>
      <c r="F116" t="s">
        <v>1190</v>
      </c>
      <c r="G116" t="s">
        <v>30</v>
      </c>
      <c r="H116" t="s">
        <v>1191</v>
      </c>
      <c r="I116" t="s">
        <v>1192</v>
      </c>
      <c r="J116" t="s">
        <v>118</v>
      </c>
      <c r="K116" t="s">
        <v>54</v>
      </c>
      <c r="L116" s="1">
        <v>46089</v>
      </c>
      <c r="M116" t="s">
        <v>204</v>
      </c>
      <c r="N116">
        <v>1126378</v>
      </c>
      <c r="O116" t="s">
        <v>228</v>
      </c>
      <c r="P116" t="s">
        <v>179</v>
      </c>
      <c r="Q116">
        <v>63</v>
      </c>
      <c r="R116" t="s">
        <v>41</v>
      </c>
      <c r="S116" t="s">
        <v>1193</v>
      </c>
      <c r="T116">
        <v>84</v>
      </c>
      <c r="U116" t="s">
        <v>1194</v>
      </c>
      <c r="V116" t="s">
        <v>74</v>
      </c>
      <c r="W116" t="s">
        <v>916</v>
      </c>
      <c r="X116" t="s">
        <v>1195</v>
      </c>
      <c r="Y116" t="s">
        <v>1196</v>
      </c>
      <c r="Z116" t="s">
        <v>54</v>
      </c>
    </row>
    <row r="117" spans="1:26" x14ac:dyDescent="0.2">
      <c r="A117">
        <v>113</v>
      </c>
      <c r="B117" t="s">
        <v>1197</v>
      </c>
      <c r="C117">
        <v>2000</v>
      </c>
      <c r="D117" t="s">
        <v>1198</v>
      </c>
      <c r="E117" t="s">
        <v>1199</v>
      </c>
      <c r="F117" t="s">
        <v>1200</v>
      </c>
      <c r="G117" t="s">
        <v>30</v>
      </c>
      <c r="H117" t="s">
        <v>1201</v>
      </c>
      <c r="I117" t="s">
        <v>1202</v>
      </c>
      <c r="J117" t="s">
        <v>1203</v>
      </c>
      <c r="K117" t="s">
        <v>107</v>
      </c>
      <c r="L117" s="1">
        <v>46120</v>
      </c>
      <c r="M117" t="s">
        <v>271</v>
      </c>
      <c r="N117">
        <v>1371012</v>
      </c>
      <c r="O117" t="s">
        <v>204</v>
      </c>
      <c r="P117" t="s">
        <v>204</v>
      </c>
      <c r="Q117">
        <v>121</v>
      </c>
      <c r="R117" t="s">
        <v>74</v>
      </c>
      <c r="S117" t="s">
        <v>1204</v>
      </c>
      <c r="T117">
        <v>84</v>
      </c>
      <c r="U117" t="s">
        <v>1205</v>
      </c>
      <c r="V117" t="s">
        <v>74</v>
      </c>
      <c r="W117" t="s">
        <v>1206</v>
      </c>
      <c r="X117" t="s">
        <v>1207</v>
      </c>
      <c r="Y117" t="s">
        <v>1208</v>
      </c>
      <c r="Z117" t="s">
        <v>54</v>
      </c>
    </row>
    <row r="118" spans="1:26" x14ac:dyDescent="0.2">
      <c r="A118">
        <v>114</v>
      </c>
      <c r="B118" t="s">
        <v>1209</v>
      </c>
      <c r="C118">
        <v>1978</v>
      </c>
      <c r="D118" t="s">
        <v>267</v>
      </c>
      <c r="E118" t="s">
        <v>1210</v>
      </c>
      <c r="F118" t="s">
        <v>1211</v>
      </c>
      <c r="G118" t="s">
        <v>30</v>
      </c>
      <c r="H118" t="s">
        <v>1212</v>
      </c>
      <c r="I118" t="s">
        <v>1213</v>
      </c>
      <c r="J118" t="s">
        <v>85</v>
      </c>
      <c r="K118" t="s">
        <v>107</v>
      </c>
      <c r="L118" s="1">
        <v>46030</v>
      </c>
      <c r="M118" t="s">
        <v>228</v>
      </c>
      <c r="N118">
        <v>373634</v>
      </c>
      <c r="O118" t="s">
        <v>41</v>
      </c>
      <c r="P118" t="s">
        <v>179</v>
      </c>
      <c r="Q118">
        <v>79</v>
      </c>
      <c r="R118" t="s">
        <v>97</v>
      </c>
      <c r="S118" t="s">
        <v>1214</v>
      </c>
      <c r="T118">
        <v>84</v>
      </c>
      <c r="U118" t="s">
        <v>1215</v>
      </c>
      <c r="V118" t="s">
        <v>107</v>
      </c>
      <c r="W118" t="s">
        <v>617</v>
      </c>
      <c r="X118" t="s">
        <v>1216</v>
      </c>
      <c r="Y118" t="s">
        <v>1217</v>
      </c>
      <c r="Z118" t="s">
        <v>54</v>
      </c>
    </row>
    <row r="119" spans="1:26" x14ac:dyDescent="0.2">
      <c r="A119">
        <v>115</v>
      </c>
      <c r="B119" t="s">
        <v>1218</v>
      </c>
      <c r="C119">
        <v>2000</v>
      </c>
      <c r="D119" t="s">
        <v>65</v>
      </c>
      <c r="E119" t="s">
        <v>1219</v>
      </c>
      <c r="F119" t="s">
        <v>1220</v>
      </c>
      <c r="G119" t="s">
        <v>1221</v>
      </c>
      <c r="H119" t="s">
        <v>1222</v>
      </c>
      <c r="K119" t="s">
        <v>107</v>
      </c>
      <c r="L119" s="1">
        <v>46030</v>
      </c>
      <c r="M119" t="s">
        <v>228</v>
      </c>
      <c r="N119">
        <v>30233</v>
      </c>
      <c r="O119" t="s">
        <v>57</v>
      </c>
      <c r="P119" t="s">
        <v>54</v>
      </c>
      <c r="Q119">
        <v>51</v>
      </c>
      <c r="R119" t="s">
        <v>157</v>
      </c>
      <c r="S119" t="s">
        <v>1223</v>
      </c>
      <c r="T119">
        <v>90</v>
      </c>
      <c r="U119" t="s">
        <v>1224</v>
      </c>
      <c r="V119" t="s">
        <v>1225</v>
      </c>
      <c r="X119" t="s">
        <v>1226</v>
      </c>
      <c r="Y119" t="s">
        <v>1227</v>
      </c>
      <c r="Z119" t="s">
        <v>54</v>
      </c>
    </row>
    <row r="120" spans="1:26" x14ac:dyDescent="0.2">
      <c r="A120">
        <v>116</v>
      </c>
      <c r="B120" t="s">
        <v>1228</v>
      </c>
      <c r="C120">
        <v>2016</v>
      </c>
      <c r="D120" t="s">
        <v>1229</v>
      </c>
      <c r="E120" t="s">
        <v>1230</v>
      </c>
      <c r="F120" t="s">
        <v>1231</v>
      </c>
      <c r="G120" t="s">
        <v>155</v>
      </c>
      <c r="H120" t="s">
        <v>1232</v>
      </c>
      <c r="K120" t="s">
        <v>107</v>
      </c>
      <c r="L120" s="1">
        <v>46030</v>
      </c>
      <c r="M120" t="s">
        <v>228</v>
      </c>
      <c r="N120">
        <v>186305</v>
      </c>
      <c r="O120" t="s">
        <v>107</v>
      </c>
      <c r="P120" t="s">
        <v>271</v>
      </c>
      <c r="Q120">
        <v>162</v>
      </c>
      <c r="R120" t="s">
        <v>157</v>
      </c>
      <c r="S120" t="s">
        <v>1233</v>
      </c>
      <c r="T120">
        <v>88</v>
      </c>
      <c r="U120" t="s">
        <v>1234</v>
      </c>
      <c r="V120" t="s">
        <v>41</v>
      </c>
      <c r="X120" t="s">
        <v>1235</v>
      </c>
      <c r="Y120" t="s">
        <v>1236</v>
      </c>
      <c r="Z120" t="s">
        <v>54</v>
      </c>
    </row>
    <row r="121" spans="1:26" x14ac:dyDescent="0.2">
      <c r="A121">
        <v>117</v>
      </c>
      <c r="B121" t="s">
        <v>1237</v>
      </c>
      <c r="C121">
        <v>2022</v>
      </c>
      <c r="D121" t="s">
        <v>65</v>
      </c>
      <c r="E121" t="s">
        <v>1238</v>
      </c>
      <c r="F121" t="s">
        <v>1239</v>
      </c>
      <c r="G121" t="s">
        <v>30</v>
      </c>
      <c r="H121" t="s">
        <v>1240</v>
      </c>
      <c r="K121" t="s">
        <v>54</v>
      </c>
      <c r="L121" s="1">
        <v>46180</v>
      </c>
      <c r="M121" t="s">
        <v>1241</v>
      </c>
      <c r="N121">
        <v>113280</v>
      </c>
      <c r="O121" t="s">
        <v>38</v>
      </c>
      <c r="P121" t="s">
        <v>41</v>
      </c>
      <c r="Q121">
        <v>145</v>
      </c>
      <c r="S121" t="s">
        <v>1242</v>
      </c>
      <c r="T121">
        <v>84</v>
      </c>
      <c r="U121" t="s">
        <v>1243</v>
      </c>
      <c r="V121" t="s">
        <v>107</v>
      </c>
      <c r="X121" t="s">
        <v>1244</v>
      </c>
      <c r="Y121" t="s">
        <v>1245</v>
      </c>
      <c r="Z121" t="s">
        <v>54</v>
      </c>
    </row>
    <row r="122" spans="1:26" x14ac:dyDescent="0.2">
      <c r="A122">
        <v>118</v>
      </c>
      <c r="B122" t="s">
        <v>1246</v>
      </c>
      <c r="C122">
        <v>1980</v>
      </c>
      <c r="D122" t="s">
        <v>65</v>
      </c>
      <c r="E122" t="s">
        <v>174</v>
      </c>
      <c r="F122" t="s">
        <v>1247</v>
      </c>
      <c r="G122" t="s">
        <v>30</v>
      </c>
      <c r="H122" t="s">
        <v>1248</v>
      </c>
      <c r="I122" t="s">
        <v>1249</v>
      </c>
      <c r="J122" t="s">
        <v>167</v>
      </c>
      <c r="K122" t="s">
        <v>107</v>
      </c>
      <c r="L122" s="1">
        <v>46030</v>
      </c>
      <c r="M122" t="s">
        <v>228</v>
      </c>
      <c r="N122">
        <v>393517</v>
      </c>
      <c r="O122" t="s">
        <v>41</v>
      </c>
      <c r="P122" t="s">
        <v>41</v>
      </c>
      <c r="Q122">
        <v>91</v>
      </c>
      <c r="R122" t="s">
        <v>97</v>
      </c>
      <c r="S122" t="s">
        <v>1250</v>
      </c>
      <c r="T122">
        <v>84</v>
      </c>
      <c r="U122" t="s">
        <v>1251</v>
      </c>
      <c r="V122" t="s">
        <v>228</v>
      </c>
      <c r="W122" t="s">
        <v>1252</v>
      </c>
      <c r="X122" t="s">
        <v>1253</v>
      </c>
      <c r="Y122" t="s">
        <v>1254</v>
      </c>
      <c r="Z122" t="s">
        <v>1255</v>
      </c>
    </row>
    <row r="123" spans="1:26" x14ac:dyDescent="0.2">
      <c r="A123">
        <v>119</v>
      </c>
      <c r="B123" t="s">
        <v>1256</v>
      </c>
      <c r="C123">
        <v>2004</v>
      </c>
      <c r="D123" t="s">
        <v>65</v>
      </c>
      <c r="E123" t="s">
        <v>1012</v>
      </c>
      <c r="F123" t="s">
        <v>1257</v>
      </c>
      <c r="G123" t="s">
        <v>50</v>
      </c>
      <c r="H123" t="s">
        <v>1258</v>
      </c>
      <c r="I123" t="s">
        <v>1259</v>
      </c>
      <c r="J123" t="s">
        <v>1260</v>
      </c>
      <c r="K123" t="s">
        <v>107</v>
      </c>
      <c r="L123" t="s">
        <v>564</v>
      </c>
      <c r="M123" t="s">
        <v>304</v>
      </c>
      <c r="N123">
        <v>33279</v>
      </c>
      <c r="O123" t="s">
        <v>157</v>
      </c>
      <c r="P123" t="s">
        <v>250</v>
      </c>
      <c r="Q123">
        <v>51</v>
      </c>
      <c r="R123" t="s">
        <v>97</v>
      </c>
      <c r="S123" t="s">
        <v>1261</v>
      </c>
      <c r="T123">
        <v>88</v>
      </c>
      <c r="U123" t="s">
        <v>1262</v>
      </c>
      <c r="V123" t="s">
        <v>157</v>
      </c>
      <c r="W123" t="s">
        <v>325</v>
      </c>
      <c r="X123" t="s">
        <v>1263</v>
      </c>
      <c r="Y123" t="s">
        <v>1264</v>
      </c>
      <c r="Z123" t="s">
        <v>1255</v>
      </c>
    </row>
    <row r="124" spans="1:26" x14ac:dyDescent="0.2">
      <c r="A124">
        <v>120</v>
      </c>
      <c r="B124" t="s">
        <v>1265</v>
      </c>
      <c r="C124">
        <v>1991</v>
      </c>
      <c r="D124" t="s">
        <v>1031</v>
      </c>
      <c r="E124" t="s">
        <v>1032</v>
      </c>
      <c r="F124" t="s">
        <v>1266</v>
      </c>
      <c r="G124" t="s">
        <v>30</v>
      </c>
      <c r="H124" t="s">
        <v>1267</v>
      </c>
      <c r="I124" t="s">
        <v>1268</v>
      </c>
      <c r="J124" t="s">
        <v>1269</v>
      </c>
      <c r="K124" t="s">
        <v>107</v>
      </c>
      <c r="L124" s="1">
        <v>46181</v>
      </c>
      <c r="M124" t="s">
        <v>54</v>
      </c>
      <c r="N124">
        <v>1224062</v>
      </c>
      <c r="O124" t="s">
        <v>1270</v>
      </c>
      <c r="P124" t="s">
        <v>204</v>
      </c>
      <c r="Q124">
        <v>80</v>
      </c>
      <c r="R124" t="s">
        <v>41</v>
      </c>
      <c r="S124" t="s">
        <v>1271</v>
      </c>
      <c r="T124">
        <v>86</v>
      </c>
      <c r="U124" t="s">
        <v>1272</v>
      </c>
      <c r="V124" t="s">
        <v>38</v>
      </c>
      <c r="W124" t="s">
        <v>780</v>
      </c>
      <c r="X124" t="s">
        <v>1273</v>
      </c>
      <c r="Y124" t="s">
        <v>1274</v>
      </c>
      <c r="Z124" t="s">
        <v>1255</v>
      </c>
    </row>
    <row r="125" spans="1:26" x14ac:dyDescent="0.2">
      <c r="A125">
        <v>121</v>
      </c>
      <c r="B125" t="s">
        <v>1275</v>
      </c>
      <c r="C125">
        <v>1968</v>
      </c>
      <c r="D125" t="s">
        <v>1276</v>
      </c>
      <c r="E125" t="s">
        <v>610</v>
      </c>
      <c r="F125" t="s">
        <v>1277</v>
      </c>
      <c r="G125" t="s">
        <v>30</v>
      </c>
      <c r="H125" t="s">
        <v>1278</v>
      </c>
      <c r="K125" t="s">
        <v>54</v>
      </c>
      <c r="L125" t="s">
        <v>564</v>
      </c>
      <c r="M125" t="s">
        <v>304</v>
      </c>
      <c r="N125">
        <v>247212</v>
      </c>
      <c r="O125" t="s">
        <v>37</v>
      </c>
      <c r="P125" t="s">
        <v>41</v>
      </c>
      <c r="Q125">
        <v>94</v>
      </c>
      <c r="R125" t="s">
        <v>271</v>
      </c>
      <c r="S125" t="s">
        <v>1279</v>
      </c>
      <c r="T125">
        <v>84</v>
      </c>
      <c r="U125" t="s">
        <v>1280</v>
      </c>
      <c r="V125" t="s">
        <v>228</v>
      </c>
      <c r="W125" t="s">
        <v>1281</v>
      </c>
      <c r="X125" t="s">
        <v>1282</v>
      </c>
      <c r="Y125" t="s">
        <v>1283</v>
      </c>
      <c r="Z125" t="s">
        <v>1255</v>
      </c>
    </row>
    <row r="126" spans="1:26" x14ac:dyDescent="0.2">
      <c r="A126">
        <v>122</v>
      </c>
      <c r="B126" t="s">
        <v>1284</v>
      </c>
      <c r="C126">
        <v>1940</v>
      </c>
      <c r="D126" t="s">
        <v>234</v>
      </c>
      <c r="E126" t="s">
        <v>1285</v>
      </c>
      <c r="F126" t="s">
        <v>1286</v>
      </c>
      <c r="G126" t="s">
        <v>30</v>
      </c>
      <c r="H126" t="s">
        <v>1287</v>
      </c>
      <c r="I126" t="s">
        <v>1288</v>
      </c>
      <c r="J126" t="s">
        <v>239</v>
      </c>
      <c r="K126" t="s">
        <v>107</v>
      </c>
      <c r="L126" s="1">
        <v>46241</v>
      </c>
      <c r="M126" t="s">
        <v>757</v>
      </c>
      <c r="N126">
        <v>75972</v>
      </c>
      <c r="O126" t="s">
        <v>37</v>
      </c>
      <c r="P126" t="s">
        <v>74</v>
      </c>
      <c r="Q126">
        <v>58</v>
      </c>
      <c r="R126" t="s">
        <v>157</v>
      </c>
      <c r="S126" t="s">
        <v>1289</v>
      </c>
      <c r="T126">
        <v>80</v>
      </c>
      <c r="U126" t="s">
        <v>1290</v>
      </c>
      <c r="V126" t="s">
        <v>250</v>
      </c>
      <c r="W126" t="s">
        <v>1148</v>
      </c>
      <c r="X126" t="s">
        <v>1291</v>
      </c>
      <c r="Y126" t="s">
        <v>1292</v>
      </c>
      <c r="Z126" t="s">
        <v>1255</v>
      </c>
    </row>
    <row r="127" spans="1:26" x14ac:dyDescent="0.2">
      <c r="A127">
        <v>123</v>
      </c>
      <c r="B127" t="s">
        <v>1293</v>
      </c>
      <c r="C127">
        <v>1955</v>
      </c>
      <c r="D127" t="s">
        <v>258</v>
      </c>
      <c r="E127" t="s">
        <v>1142</v>
      </c>
      <c r="F127" t="s">
        <v>1294</v>
      </c>
      <c r="G127" t="s">
        <v>321</v>
      </c>
      <c r="H127" t="s">
        <v>1295</v>
      </c>
      <c r="I127" t="s">
        <v>1296</v>
      </c>
      <c r="J127" t="s">
        <v>1297</v>
      </c>
      <c r="K127" t="s">
        <v>271</v>
      </c>
      <c r="L127" s="1">
        <v>46030</v>
      </c>
      <c r="M127" t="s">
        <v>228</v>
      </c>
      <c r="N127">
        <v>71254</v>
      </c>
      <c r="P127" t="s">
        <v>179</v>
      </c>
      <c r="Q127">
        <v>57</v>
      </c>
      <c r="R127" t="s">
        <v>97</v>
      </c>
      <c r="S127" t="s">
        <v>1298</v>
      </c>
      <c r="T127">
        <v>84</v>
      </c>
      <c r="U127" t="s">
        <v>1299</v>
      </c>
      <c r="V127" t="s">
        <v>157</v>
      </c>
      <c r="W127" t="s">
        <v>1148</v>
      </c>
      <c r="X127" t="s">
        <v>1300</v>
      </c>
      <c r="Y127" t="s">
        <v>1301</v>
      </c>
      <c r="Z127" t="s">
        <v>1302</v>
      </c>
    </row>
    <row r="128" spans="1:26" x14ac:dyDescent="0.2">
      <c r="A128">
        <v>124</v>
      </c>
      <c r="B128" t="s">
        <v>1303</v>
      </c>
      <c r="C128">
        <v>2015</v>
      </c>
      <c r="D128" t="s">
        <v>1304</v>
      </c>
      <c r="E128" t="s">
        <v>1305</v>
      </c>
      <c r="F128" t="s">
        <v>1306</v>
      </c>
      <c r="G128" t="s">
        <v>30</v>
      </c>
      <c r="H128" t="s">
        <v>1307</v>
      </c>
      <c r="I128" t="s">
        <v>1308</v>
      </c>
      <c r="J128" t="s">
        <v>178</v>
      </c>
      <c r="K128" t="s">
        <v>54</v>
      </c>
      <c r="L128" s="1">
        <v>46030</v>
      </c>
      <c r="M128" t="s">
        <v>228</v>
      </c>
      <c r="N128">
        <v>1159013</v>
      </c>
      <c r="O128" t="s">
        <v>41</v>
      </c>
      <c r="P128" t="s">
        <v>179</v>
      </c>
      <c r="Q128">
        <v>342</v>
      </c>
      <c r="R128" t="s">
        <v>204</v>
      </c>
      <c r="S128" t="s">
        <v>1309</v>
      </c>
      <c r="T128">
        <v>84</v>
      </c>
      <c r="U128" t="s">
        <v>1310</v>
      </c>
      <c r="V128" t="s">
        <v>97</v>
      </c>
      <c r="W128" t="s">
        <v>135</v>
      </c>
      <c r="X128" t="s">
        <v>1311</v>
      </c>
      <c r="Y128" t="s">
        <v>1312</v>
      </c>
      <c r="Z128" t="s">
        <v>1313</v>
      </c>
    </row>
    <row r="129" spans="1:26" x14ac:dyDescent="0.2">
      <c r="A129">
        <v>125</v>
      </c>
      <c r="B129" t="s">
        <v>1314</v>
      </c>
      <c r="C129">
        <v>1962</v>
      </c>
      <c r="D129" t="s">
        <v>65</v>
      </c>
      <c r="E129" t="s">
        <v>1315</v>
      </c>
      <c r="F129" t="s">
        <v>1316</v>
      </c>
      <c r="G129" t="s">
        <v>30</v>
      </c>
      <c r="H129" t="s">
        <v>1317</v>
      </c>
      <c r="I129" t="s">
        <v>1318</v>
      </c>
      <c r="J129" t="s">
        <v>1319</v>
      </c>
      <c r="K129" t="s">
        <v>107</v>
      </c>
      <c r="L129" s="1">
        <v>46089</v>
      </c>
      <c r="M129" t="s">
        <v>204</v>
      </c>
      <c r="N129">
        <v>341855</v>
      </c>
      <c r="O129" t="s">
        <v>157</v>
      </c>
      <c r="P129" t="s">
        <v>97</v>
      </c>
      <c r="Q129">
        <v>57</v>
      </c>
      <c r="R129" t="s">
        <v>97</v>
      </c>
      <c r="S129" t="s">
        <v>1320</v>
      </c>
      <c r="T129">
        <v>82</v>
      </c>
      <c r="U129" t="s">
        <v>1321</v>
      </c>
      <c r="V129" t="s">
        <v>204</v>
      </c>
      <c r="W129" t="s">
        <v>617</v>
      </c>
      <c r="X129" t="s">
        <v>1322</v>
      </c>
      <c r="Y129" t="s">
        <v>1323</v>
      </c>
      <c r="Z129" t="s">
        <v>1313</v>
      </c>
    </row>
    <row r="130" spans="1:26" x14ac:dyDescent="0.2">
      <c r="A130">
        <v>126</v>
      </c>
      <c r="B130" t="s">
        <v>1324</v>
      </c>
      <c r="C130">
        <v>2000</v>
      </c>
      <c r="D130" t="s">
        <v>1325</v>
      </c>
      <c r="E130" t="s">
        <v>1326</v>
      </c>
      <c r="F130" t="s">
        <v>1327</v>
      </c>
      <c r="G130" t="s">
        <v>1221</v>
      </c>
      <c r="H130" t="s">
        <v>1328</v>
      </c>
      <c r="I130" t="s">
        <v>1329</v>
      </c>
      <c r="J130" t="s">
        <v>335</v>
      </c>
      <c r="K130" t="s">
        <v>54</v>
      </c>
      <c r="L130" s="1">
        <v>46272</v>
      </c>
      <c r="M130" t="s">
        <v>484</v>
      </c>
      <c r="N130">
        <v>287305</v>
      </c>
      <c r="O130" t="s">
        <v>57</v>
      </c>
      <c r="P130" t="s">
        <v>97</v>
      </c>
      <c r="Q130">
        <v>129</v>
      </c>
      <c r="R130" t="s">
        <v>204</v>
      </c>
      <c r="S130" t="s">
        <v>1330</v>
      </c>
      <c r="T130">
        <v>82</v>
      </c>
      <c r="U130" t="s">
        <v>1331</v>
      </c>
      <c r="V130" t="s">
        <v>179</v>
      </c>
      <c r="W130" t="s">
        <v>75</v>
      </c>
      <c r="X130" t="s">
        <v>1332</v>
      </c>
      <c r="Y130" t="s">
        <v>1333</v>
      </c>
      <c r="Z130" t="s">
        <v>1313</v>
      </c>
    </row>
    <row r="131" spans="1:26" x14ac:dyDescent="0.2">
      <c r="A131">
        <v>127</v>
      </c>
      <c r="B131" t="s">
        <v>1334</v>
      </c>
      <c r="C131">
        <v>1968</v>
      </c>
      <c r="D131" t="s">
        <v>1335</v>
      </c>
      <c r="E131" t="s">
        <v>199</v>
      </c>
      <c r="F131" t="s">
        <v>1336</v>
      </c>
      <c r="G131" t="s">
        <v>30</v>
      </c>
      <c r="H131" t="s">
        <v>1337</v>
      </c>
      <c r="I131" t="s">
        <v>1338</v>
      </c>
      <c r="J131" t="s">
        <v>216</v>
      </c>
      <c r="K131" t="s">
        <v>54</v>
      </c>
      <c r="L131" s="1">
        <v>46089</v>
      </c>
      <c r="M131" t="s">
        <v>204</v>
      </c>
      <c r="N131">
        <v>748841</v>
      </c>
      <c r="O131" t="s">
        <v>271</v>
      </c>
      <c r="P131" t="s">
        <v>41</v>
      </c>
      <c r="Q131">
        <v>98</v>
      </c>
      <c r="R131" t="s">
        <v>179</v>
      </c>
      <c r="S131" t="s">
        <v>1339</v>
      </c>
      <c r="T131">
        <v>86</v>
      </c>
      <c r="U131" t="s">
        <v>1340</v>
      </c>
      <c r="V131" t="s">
        <v>271</v>
      </c>
      <c r="W131" t="s">
        <v>60</v>
      </c>
      <c r="X131" t="s">
        <v>1341</v>
      </c>
      <c r="Y131" t="s">
        <v>1342</v>
      </c>
      <c r="Z131" t="s">
        <v>1313</v>
      </c>
    </row>
    <row r="132" spans="1:26" x14ac:dyDescent="0.2">
      <c r="A132">
        <v>128</v>
      </c>
      <c r="B132" t="s">
        <v>1343</v>
      </c>
      <c r="C132">
        <v>2024</v>
      </c>
      <c r="D132" t="s">
        <v>1344</v>
      </c>
      <c r="E132" t="s">
        <v>1345</v>
      </c>
      <c r="F132" t="s">
        <v>1346</v>
      </c>
      <c r="G132" t="s">
        <v>30</v>
      </c>
      <c r="H132" t="s">
        <v>1347</v>
      </c>
      <c r="K132" t="s">
        <v>54</v>
      </c>
      <c r="L132" s="1">
        <v>46150</v>
      </c>
      <c r="M132" t="s">
        <v>107</v>
      </c>
      <c r="N132">
        <v>612042</v>
      </c>
      <c r="O132" t="s">
        <v>484</v>
      </c>
      <c r="P132" t="s">
        <v>204</v>
      </c>
      <c r="Q132">
        <v>262</v>
      </c>
      <c r="S132" t="s">
        <v>1348</v>
      </c>
      <c r="T132">
        <v>88</v>
      </c>
      <c r="U132" t="s">
        <v>1349</v>
      </c>
      <c r="V132" t="s">
        <v>34</v>
      </c>
      <c r="W132" t="s">
        <v>1350</v>
      </c>
      <c r="X132" t="s">
        <v>1351</v>
      </c>
      <c r="Y132" t="s">
        <v>1352</v>
      </c>
      <c r="Z132" t="s">
        <v>1353</v>
      </c>
    </row>
    <row r="133" spans="1:26" x14ac:dyDescent="0.2">
      <c r="A133">
        <v>129</v>
      </c>
      <c r="B133" t="s">
        <v>1354</v>
      </c>
      <c r="C133">
        <v>2024</v>
      </c>
      <c r="D133" t="s">
        <v>1355</v>
      </c>
      <c r="E133" t="s">
        <v>1356</v>
      </c>
      <c r="G133" t="s">
        <v>1357</v>
      </c>
      <c r="H133" t="s">
        <v>1358</v>
      </c>
      <c r="K133" t="s">
        <v>54</v>
      </c>
      <c r="L133" s="1">
        <v>46272</v>
      </c>
      <c r="M133" t="s">
        <v>484</v>
      </c>
      <c r="N133">
        <v>58616</v>
      </c>
      <c r="O133" t="s">
        <v>54</v>
      </c>
      <c r="P133" t="s">
        <v>107</v>
      </c>
      <c r="Q133">
        <v>96</v>
      </c>
      <c r="T133">
        <v>82</v>
      </c>
      <c r="U133" t="s">
        <v>1359</v>
      </c>
      <c r="V133" t="s">
        <v>37</v>
      </c>
      <c r="X133" t="s">
        <v>1360</v>
      </c>
      <c r="Y133" t="s">
        <v>1361</v>
      </c>
      <c r="Z133" t="s">
        <v>1353</v>
      </c>
    </row>
    <row r="134" spans="1:26" x14ac:dyDescent="0.2">
      <c r="A134">
        <v>130</v>
      </c>
      <c r="B134" t="s">
        <v>1362</v>
      </c>
      <c r="C134">
        <v>2008</v>
      </c>
      <c r="D134" t="s">
        <v>1363</v>
      </c>
      <c r="E134" t="s">
        <v>1364</v>
      </c>
      <c r="F134" t="s">
        <v>1365</v>
      </c>
      <c r="G134" t="s">
        <v>1366</v>
      </c>
      <c r="H134" t="s">
        <v>1367</v>
      </c>
      <c r="I134" t="s">
        <v>1368</v>
      </c>
      <c r="J134" t="s">
        <v>335</v>
      </c>
      <c r="K134" t="s">
        <v>107</v>
      </c>
      <c r="L134" t="s">
        <v>564</v>
      </c>
      <c r="M134" t="s">
        <v>304</v>
      </c>
      <c r="N134">
        <v>61610</v>
      </c>
      <c r="O134" t="s">
        <v>74</v>
      </c>
      <c r="P134" t="s">
        <v>54</v>
      </c>
      <c r="Q134">
        <v>107</v>
      </c>
      <c r="R134" t="s">
        <v>179</v>
      </c>
      <c r="S134" t="s">
        <v>1369</v>
      </c>
      <c r="T134">
        <v>80</v>
      </c>
      <c r="U134" t="s">
        <v>1370</v>
      </c>
      <c r="V134" t="s">
        <v>97</v>
      </c>
      <c r="W134" t="s">
        <v>75</v>
      </c>
      <c r="X134" t="s">
        <v>1371</v>
      </c>
      <c r="Y134" t="s">
        <v>1372</v>
      </c>
      <c r="Z134" t="s">
        <v>1373</v>
      </c>
    </row>
    <row r="135" spans="1:26" x14ac:dyDescent="0.2">
      <c r="A135">
        <v>131</v>
      </c>
      <c r="B135" t="s">
        <v>1374</v>
      </c>
      <c r="C135">
        <v>2007</v>
      </c>
      <c r="D135" t="s">
        <v>1375</v>
      </c>
      <c r="E135" t="s">
        <v>1376</v>
      </c>
      <c r="F135" t="s">
        <v>1377</v>
      </c>
      <c r="G135" t="s">
        <v>321</v>
      </c>
      <c r="H135" t="s">
        <v>1378</v>
      </c>
      <c r="I135" t="s">
        <v>1379</v>
      </c>
      <c r="J135" t="s">
        <v>335</v>
      </c>
      <c r="K135" t="s">
        <v>107</v>
      </c>
      <c r="L135" t="s">
        <v>564</v>
      </c>
      <c r="M135" t="s">
        <v>304</v>
      </c>
      <c r="N135">
        <v>102558</v>
      </c>
      <c r="O135" t="s">
        <v>41</v>
      </c>
      <c r="P135" t="s">
        <v>271</v>
      </c>
      <c r="Q135">
        <v>114</v>
      </c>
      <c r="R135" t="s">
        <v>157</v>
      </c>
      <c r="S135" t="s">
        <v>1380</v>
      </c>
      <c r="T135">
        <v>84</v>
      </c>
      <c r="U135" t="s">
        <v>1381</v>
      </c>
      <c r="V135" t="s">
        <v>179</v>
      </c>
      <c r="W135" t="s">
        <v>75</v>
      </c>
      <c r="X135" t="s">
        <v>1382</v>
      </c>
      <c r="Y135" t="s">
        <v>1383</v>
      </c>
      <c r="Z135" t="s">
        <v>1373</v>
      </c>
    </row>
    <row r="136" spans="1:26" x14ac:dyDescent="0.2">
      <c r="A136">
        <v>132</v>
      </c>
      <c r="B136" t="s">
        <v>1384</v>
      </c>
      <c r="C136">
        <v>2018</v>
      </c>
      <c r="D136" t="s">
        <v>1161</v>
      </c>
      <c r="E136" t="s">
        <v>1385</v>
      </c>
      <c r="F136" t="s">
        <v>1386</v>
      </c>
      <c r="G136" t="s">
        <v>30</v>
      </c>
      <c r="H136" t="s">
        <v>1387</v>
      </c>
      <c r="K136" t="s">
        <v>107</v>
      </c>
      <c r="L136" s="1">
        <v>46089</v>
      </c>
      <c r="M136" t="s">
        <v>204</v>
      </c>
      <c r="N136">
        <v>27589</v>
      </c>
      <c r="O136" t="s">
        <v>107</v>
      </c>
      <c r="P136" t="s">
        <v>179</v>
      </c>
      <c r="Q136">
        <v>138</v>
      </c>
      <c r="R136" t="s">
        <v>41</v>
      </c>
      <c r="S136" t="s">
        <v>1388</v>
      </c>
      <c r="T136">
        <v>84</v>
      </c>
      <c r="U136" t="s">
        <v>1389</v>
      </c>
      <c r="V136" t="s">
        <v>271</v>
      </c>
      <c r="W136" t="s">
        <v>75</v>
      </c>
      <c r="X136" t="s">
        <v>1390</v>
      </c>
      <c r="Y136" t="s">
        <v>1391</v>
      </c>
      <c r="Z136" t="s">
        <v>1373</v>
      </c>
    </row>
    <row r="137" spans="1:26" x14ac:dyDescent="0.2">
      <c r="A137">
        <v>133</v>
      </c>
      <c r="B137" t="s">
        <v>1392</v>
      </c>
      <c r="C137">
        <v>2015</v>
      </c>
      <c r="D137" t="s">
        <v>1393</v>
      </c>
      <c r="E137" t="s">
        <v>1394</v>
      </c>
      <c r="F137" t="s">
        <v>1395</v>
      </c>
      <c r="G137" t="s">
        <v>30</v>
      </c>
      <c r="H137" t="s">
        <v>1396</v>
      </c>
      <c r="I137" t="s">
        <v>1397</v>
      </c>
      <c r="J137" t="s">
        <v>747</v>
      </c>
      <c r="K137" t="s">
        <v>107</v>
      </c>
      <c r="L137" s="1">
        <v>46030</v>
      </c>
      <c r="M137" t="s">
        <v>228</v>
      </c>
      <c r="N137">
        <v>860273</v>
      </c>
      <c r="O137" t="s">
        <v>57</v>
      </c>
      <c r="P137" t="s">
        <v>41</v>
      </c>
      <c r="Q137">
        <v>254</v>
      </c>
      <c r="R137" t="s">
        <v>54</v>
      </c>
      <c r="S137" t="s">
        <v>1398</v>
      </c>
      <c r="T137">
        <v>76</v>
      </c>
      <c r="U137" t="s">
        <v>1399</v>
      </c>
      <c r="V137" t="s">
        <v>54</v>
      </c>
      <c r="W137" t="s">
        <v>444</v>
      </c>
      <c r="X137" t="s">
        <v>1400</v>
      </c>
      <c r="Y137" t="s">
        <v>1401</v>
      </c>
      <c r="Z137" t="s">
        <v>1373</v>
      </c>
    </row>
    <row r="138" spans="1:26" x14ac:dyDescent="0.2">
      <c r="A138">
        <v>134</v>
      </c>
      <c r="B138" t="s">
        <v>1402</v>
      </c>
      <c r="C138">
        <v>2009</v>
      </c>
      <c r="D138" t="s">
        <v>1403</v>
      </c>
      <c r="E138" t="s">
        <v>1394</v>
      </c>
      <c r="F138" t="s">
        <v>1404</v>
      </c>
      <c r="G138" t="s">
        <v>30</v>
      </c>
      <c r="H138" t="s">
        <v>1405</v>
      </c>
      <c r="I138" t="s">
        <v>1406</v>
      </c>
      <c r="J138" t="s">
        <v>145</v>
      </c>
      <c r="K138" t="s">
        <v>107</v>
      </c>
      <c r="L138" s="1">
        <v>46089</v>
      </c>
      <c r="M138" t="s">
        <v>204</v>
      </c>
      <c r="N138">
        <v>1173646</v>
      </c>
      <c r="O138" t="s">
        <v>157</v>
      </c>
      <c r="P138" t="s">
        <v>179</v>
      </c>
      <c r="Q138">
        <v>201</v>
      </c>
      <c r="R138" t="s">
        <v>179</v>
      </c>
      <c r="S138" t="s">
        <v>1407</v>
      </c>
      <c r="T138">
        <v>82</v>
      </c>
      <c r="U138" t="s">
        <v>1408</v>
      </c>
      <c r="V138" t="s">
        <v>54</v>
      </c>
      <c r="W138" t="s">
        <v>444</v>
      </c>
      <c r="X138" t="s">
        <v>1409</v>
      </c>
      <c r="Y138" t="s">
        <v>1410</v>
      </c>
      <c r="Z138" t="s">
        <v>1373</v>
      </c>
    </row>
    <row r="139" spans="1:26" x14ac:dyDescent="0.2">
      <c r="A139">
        <v>135</v>
      </c>
      <c r="B139" t="s">
        <v>1411</v>
      </c>
      <c r="C139">
        <v>2017</v>
      </c>
      <c r="D139" t="s">
        <v>1412</v>
      </c>
      <c r="E139" t="s">
        <v>1413</v>
      </c>
      <c r="F139" t="s">
        <v>1414</v>
      </c>
      <c r="G139" t="s">
        <v>30</v>
      </c>
      <c r="H139" t="s">
        <v>1415</v>
      </c>
      <c r="K139" t="s">
        <v>107</v>
      </c>
      <c r="L139" s="1">
        <v>46241</v>
      </c>
      <c r="M139" t="s">
        <v>757</v>
      </c>
      <c r="N139">
        <v>337407</v>
      </c>
      <c r="O139" t="s">
        <v>57</v>
      </c>
      <c r="P139" t="s">
        <v>41</v>
      </c>
      <c r="Q139">
        <v>237</v>
      </c>
      <c r="R139" t="s">
        <v>271</v>
      </c>
      <c r="S139" t="s">
        <v>1416</v>
      </c>
      <c r="T139">
        <v>78</v>
      </c>
      <c r="U139" t="s">
        <v>1417</v>
      </c>
      <c r="V139" t="s">
        <v>97</v>
      </c>
      <c r="W139" t="s">
        <v>1418</v>
      </c>
      <c r="X139" t="s">
        <v>1419</v>
      </c>
      <c r="Y139" t="s">
        <v>1420</v>
      </c>
      <c r="Z139" t="s">
        <v>1373</v>
      </c>
    </row>
    <row r="140" spans="1:26" x14ac:dyDescent="0.2">
      <c r="A140">
        <v>136</v>
      </c>
      <c r="B140" t="s">
        <v>1421</v>
      </c>
      <c r="C140">
        <v>2023</v>
      </c>
      <c r="D140" t="s">
        <v>519</v>
      </c>
      <c r="E140" t="s">
        <v>1199</v>
      </c>
      <c r="F140" t="s">
        <v>1422</v>
      </c>
      <c r="G140" t="s">
        <v>30</v>
      </c>
      <c r="H140" t="s">
        <v>1423</v>
      </c>
      <c r="K140" t="s">
        <v>107</v>
      </c>
      <c r="L140" s="1">
        <v>46089</v>
      </c>
      <c r="M140" t="s">
        <v>204</v>
      </c>
      <c r="N140">
        <v>864475</v>
      </c>
      <c r="O140" t="s">
        <v>41</v>
      </c>
      <c r="P140" t="s">
        <v>179</v>
      </c>
      <c r="Q140">
        <v>302</v>
      </c>
      <c r="S140" t="s">
        <v>1424</v>
      </c>
      <c r="T140">
        <v>84</v>
      </c>
      <c r="U140" t="s">
        <v>1425</v>
      </c>
      <c r="V140" t="s">
        <v>204</v>
      </c>
      <c r="X140" t="s">
        <v>1426</v>
      </c>
      <c r="Y140" t="s">
        <v>1427</v>
      </c>
      <c r="Z140" t="s">
        <v>1428</v>
      </c>
    </row>
    <row r="141" spans="1:26" x14ac:dyDescent="0.2">
      <c r="A141">
        <v>137</v>
      </c>
      <c r="B141" t="s">
        <v>1429</v>
      </c>
      <c r="C141">
        <v>2020</v>
      </c>
      <c r="D141" t="s">
        <v>65</v>
      </c>
      <c r="E141" t="s">
        <v>1430</v>
      </c>
      <c r="F141" t="s">
        <v>1431</v>
      </c>
      <c r="G141" t="s">
        <v>30</v>
      </c>
      <c r="H141" t="s">
        <v>1432</v>
      </c>
      <c r="K141" t="s">
        <v>107</v>
      </c>
      <c r="L141" s="1">
        <v>46061</v>
      </c>
      <c r="M141" t="s">
        <v>250</v>
      </c>
      <c r="N141">
        <v>211198</v>
      </c>
      <c r="O141" t="s">
        <v>157</v>
      </c>
      <c r="P141" t="s">
        <v>179</v>
      </c>
      <c r="Q141">
        <v>184</v>
      </c>
      <c r="S141" t="s">
        <v>1433</v>
      </c>
      <c r="T141">
        <v>86</v>
      </c>
      <c r="U141" t="s">
        <v>1434</v>
      </c>
      <c r="V141" t="s">
        <v>271</v>
      </c>
      <c r="W141" t="s">
        <v>617</v>
      </c>
      <c r="X141" t="s">
        <v>1435</v>
      </c>
      <c r="Y141" t="s">
        <v>1436</v>
      </c>
      <c r="Z141" t="s">
        <v>1428</v>
      </c>
    </row>
    <row r="142" spans="1:26" x14ac:dyDescent="0.2">
      <c r="A142">
        <v>138</v>
      </c>
      <c r="B142" t="s">
        <v>1437</v>
      </c>
      <c r="C142">
        <v>1954</v>
      </c>
      <c r="D142" t="s">
        <v>65</v>
      </c>
      <c r="E142" t="s">
        <v>920</v>
      </c>
      <c r="F142" t="s">
        <v>1438</v>
      </c>
      <c r="G142" t="s">
        <v>189</v>
      </c>
      <c r="H142" t="s">
        <v>1439</v>
      </c>
      <c r="I142" t="s">
        <v>1440</v>
      </c>
      <c r="J142" t="s">
        <v>70</v>
      </c>
      <c r="K142" t="s">
        <v>271</v>
      </c>
      <c r="L142" t="s">
        <v>564</v>
      </c>
      <c r="M142" t="s">
        <v>304</v>
      </c>
      <c r="N142">
        <v>68087</v>
      </c>
      <c r="P142" t="s">
        <v>41</v>
      </c>
      <c r="Q142">
        <v>55</v>
      </c>
      <c r="R142" t="s">
        <v>97</v>
      </c>
      <c r="S142" t="s">
        <v>1441</v>
      </c>
      <c r="T142">
        <v>84</v>
      </c>
      <c r="U142" t="s">
        <v>1442</v>
      </c>
      <c r="V142" t="s">
        <v>271</v>
      </c>
      <c r="W142" t="s">
        <v>978</v>
      </c>
      <c r="X142" t="s">
        <v>1443</v>
      </c>
      <c r="Y142" t="s">
        <v>1444</v>
      </c>
      <c r="Z142" t="s">
        <v>1428</v>
      </c>
    </row>
    <row r="143" spans="1:26" x14ac:dyDescent="0.2">
      <c r="A143">
        <v>139</v>
      </c>
      <c r="B143" t="s">
        <v>1445</v>
      </c>
      <c r="C143">
        <v>2007</v>
      </c>
      <c r="D143" t="s">
        <v>65</v>
      </c>
      <c r="E143" t="s">
        <v>1446</v>
      </c>
      <c r="F143" t="s">
        <v>1447</v>
      </c>
      <c r="G143" t="s">
        <v>1448</v>
      </c>
      <c r="H143" t="s">
        <v>1449</v>
      </c>
      <c r="I143" t="s">
        <v>1450</v>
      </c>
      <c r="J143" t="s">
        <v>1451</v>
      </c>
      <c r="K143" t="s">
        <v>107</v>
      </c>
      <c r="L143" s="1">
        <v>46272</v>
      </c>
      <c r="M143" t="s">
        <v>484</v>
      </c>
      <c r="N143">
        <v>64547</v>
      </c>
      <c r="O143" t="s">
        <v>56</v>
      </c>
      <c r="P143" t="s">
        <v>179</v>
      </c>
      <c r="Q143">
        <v>81</v>
      </c>
      <c r="R143" t="s">
        <v>204</v>
      </c>
      <c r="S143" t="s">
        <v>1452</v>
      </c>
      <c r="T143">
        <v>84</v>
      </c>
      <c r="U143" t="s">
        <v>1453</v>
      </c>
      <c r="V143" t="s">
        <v>250</v>
      </c>
      <c r="W143" t="s">
        <v>75</v>
      </c>
      <c r="X143" t="s">
        <v>1454</v>
      </c>
      <c r="Y143" t="s">
        <v>1455</v>
      </c>
      <c r="Z143" t="s">
        <v>1456</v>
      </c>
    </row>
    <row r="144" spans="1:26" x14ac:dyDescent="0.2">
      <c r="A144">
        <v>140</v>
      </c>
      <c r="B144" t="s">
        <v>1457</v>
      </c>
      <c r="C144">
        <v>2014</v>
      </c>
      <c r="D144" t="s">
        <v>992</v>
      </c>
      <c r="E144" t="s">
        <v>1458</v>
      </c>
      <c r="F144" t="s">
        <v>1459</v>
      </c>
      <c r="G144" t="s">
        <v>30</v>
      </c>
      <c r="H144" t="s">
        <v>1460</v>
      </c>
      <c r="I144" t="s">
        <v>1461</v>
      </c>
      <c r="J144" t="s">
        <v>1462</v>
      </c>
      <c r="K144" t="s">
        <v>107</v>
      </c>
      <c r="L144" s="1">
        <v>46030</v>
      </c>
      <c r="M144" t="s">
        <v>228</v>
      </c>
      <c r="N144">
        <v>921664</v>
      </c>
      <c r="O144" t="s">
        <v>157</v>
      </c>
      <c r="P144" t="s">
        <v>54</v>
      </c>
      <c r="Q144">
        <v>231</v>
      </c>
      <c r="R144" t="s">
        <v>271</v>
      </c>
      <c r="S144" t="s">
        <v>1463</v>
      </c>
      <c r="T144">
        <v>84</v>
      </c>
      <c r="U144" t="s">
        <v>1464</v>
      </c>
      <c r="V144" t="s">
        <v>97</v>
      </c>
      <c r="W144" t="s">
        <v>1465</v>
      </c>
      <c r="X144" t="s">
        <v>1466</v>
      </c>
      <c r="Y144" t="s">
        <v>1467</v>
      </c>
      <c r="Z144" t="s">
        <v>1456</v>
      </c>
    </row>
    <row r="145" spans="1:26" x14ac:dyDescent="0.2">
      <c r="A145">
        <v>141</v>
      </c>
      <c r="B145" t="s">
        <v>1468</v>
      </c>
      <c r="C145">
        <v>2003</v>
      </c>
      <c r="D145" t="s">
        <v>1469</v>
      </c>
      <c r="E145" t="s">
        <v>539</v>
      </c>
      <c r="F145" t="s">
        <v>1470</v>
      </c>
      <c r="G145" t="s">
        <v>30</v>
      </c>
      <c r="H145" t="s">
        <v>1471</v>
      </c>
      <c r="I145" t="s">
        <v>1472</v>
      </c>
      <c r="J145" t="s">
        <v>145</v>
      </c>
      <c r="K145" t="s">
        <v>107</v>
      </c>
      <c r="L145" s="1">
        <v>46061</v>
      </c>
      <c r="M145" t="s">
        <v>250</v>
      </c>
      <c r="N145">
        <v>1153261</v>
      </c>
      <c r="O145" t="s">
        <v>41</v>
      </c>
      <c r="P145" t="s">
        <v>157</v>
      </c>
      <c r="Q145">
        <v>136</v>
      </c>
      <c r="R145" t="s">
        <v>271</v>
      </c>
      <c r="S145" t="s">
        <v>1473</v>
      </c>
      <c r="T145">
        <v>80</v>
      </c>
      <c r="U145" t="s">
        <v>1474</v>
      </c>
      <c r="V145" t="s">
        <v>157</v>
      </c>
      <c r="W145" t="s">
        <v>444</v>
      </c>
      <c r="X145" t="s">
        <v>1475</v>
      </c>
      <c r="Y145" t="s">
        <v>1476</v>
      </c>
      <c r="Z145" t="s">
        <v>1456</v>
      </c>
    </row>
    <row r="146" spans="1:26" x14ac:dyDescent="0.2">
      <c r="A146">
        <v>142</v>
      </c>
      <c r="B146" t="s">
        <v>1477</v>
      </c>
      <c r="C146">
        <v>1940</v>
      </c>
      <c r="D146" t="s">
        <v>1478</v>
      </c>
      <c r="E146" t="s">
        <v>103</v>
      </c>
      <c r="F146" t="s">
        <v>1479</v>
      </c>
      <c r="G146" t="s">
        <v>30</v>
      </c>
      <c r="H146" t="s">
        <v>1480</v>
      </c>
      <c r="I146" t="s">
        <v>1481</v>
      </c>
      <c r="J146" t="s">
        <v>167</v>
      </c>
      <c r="K146" t="s">
        <v>107</v>
      </c>
      <c r="L146" s="1">
        <v>46030</v>
      </c>
      <c r="M146" t="s">
        <v>228</v>
      </c>
      <c r="N146">
        <v>153711</v>
      </c>
      <c r="O146" t="s">
        <v>54</v>
      </c>
      <c r="P146" t="s">
        <v>157</v>
      </c>
      <c r="Q146">
        <v>87</v>
      </c>
      <c r="R146" t="s">
        <v>157</v>
      </c>
      <c r="S146" t="s">
        <v>1482</v>
      </c>
      <c r="T146">
        <v>82</v>
      </c>
      <c r="U146" t="s">
        <v>1483</v>
      </c>
      <c r="V146" t="s">
        <v>179</v>
      </c>
      <c r="X146" t="s">
        <v>1484</v>
      </c>
      <c r="Y146" t="s">
        <v>1485</v>
      </c>
      <c r="Z146" t="s">
        <v>1456</v>
      </c>
    </row>
    <row r="147" spans="1:26" x14ac:dyDescent="0.2">
      <c r="A147">
        <v>143</v>
      </c>
      <c r="B147" t="s">
        <v>1486</v>
      </c>
      <c r="C147">
        <v>1997</v>
      </c>
      <c r="D147" t="s">
        <v>1487</v>
      </c>
      <c r="E147" t="s">
        <v>141</v>
      </c>
      <c r="F147" t="s">
        <v>1488</v>
      </c>
      <c r="G147" t="s">
        <v>50</v>
      </c>
      <c r="H147" t="s">
        <v>1489</v>
      </c>
      <c r="I147" t="s">
        <v>1490</v>
      </c>
      <c r="J147" t="s">
        <v>118</v>
      </c>
      <c r="K147" t="s">
        <v>271</v>
      </c>
      <c r="L147" s="1">
        <v>46089</v>
      </c>
      <c r="M147" t="s">
        <v>204</v>
      </c>
      <c r="N147">
        <v>455770</v>
      </c>
      <c r="O147" t="s">
        <v>1241</v>
      </c>
      <c r="P147" t="s">
        <v>304</v>
      </c>
      <c r="Q147">
        <v>76</v>
      </c>
      <c r="R147" t="s">
        <v>74</v>
      </c>
      <c r="S147" t="s">
        <v>1491</v>
      </c>
      <c r="T147">
        <v>88</v>
      </c>
      <c r="U147" t="s">
        <v>1492</v>
      </c>
      <c r="V147" t="s">
        <v>57</v>
      </c>
      <c r="W147" t="s">
        <v>135</v>
      </c>
      <c r="X147" t="s">
        <v>1493</v>
      </c>
      <c r="Y147" t="s">
        <v>1494</v>
      </c>
      <c r="Z147" t="s">
        <v>1456</v>
      </c>
    </row>
    <row r="148" spans="1:26" x14ac:dyDescent="0.2">
      <c r="A148">
        <v>144</v>
      </c>
      <c r="B148" t="s">
        <v>1495</v>
      </c>
      <c r="C148">
        <v>2012</v>
      </c>
      <c r="D148" t="s">
        <v>1051</v>
      </c>
      <c r="E148" t="s">
        <v>114</v>
      </c>
      <c r="F148" t="s">
        <v>1496</v>
      </c>
      <c r="G148" t="s">
        <v>30</v>
      </c>
      <c r="H148" t="s">
        <v>1497</v>
      </c>
      <c r="I148" t="s">
        <v>1498</v>
      </c>
      <c r="J148" t="s">
        <v>1499</v>
      </c>
      <c r="K148" t="s">
        <v>107</v>
      </c>
      <c r="L148" s="1">
        <v>46150</v>
      </c>
      <c r="M148" t="s">
        <v>107</v>
      </c>
      <c r="N148">
        <v>1777847</v>
      </c>
      <c r="O148" t="s">
        <v>228</v>
      </c>
      <c r="P148" t="s">
        <v>304</v>
      </c>
      <c r="Q148">
        <v>251</v>
      </c>
      <c r="R148" t="s">
        <v>157</v>
      </c>
      <c r="S148" t="s">
        <v>1500</v>
      </c>
      <c r="T148">
        <v>86</v>
      </c>
      <c r="U148" t="s">
        <v>1501</v>
      </c>
      <c r="V148" t="s">
        <v>35</v>
      </c>
      <c r="W148" t="s">
        <v>1502</v>
      </c>
      <c r="X148" t="s">
        <v>1503</v>
      </c>
      <c r="Y148" t="s">
        <v>1504</v>
      </c>
      <c r="Z148" t="s">
        <v>1456</v>
      </c>
    </row>
    <row r="149" spans="1:26" x14ac:dyDescent="0.2">
      <c r="A149">
        <v>145</v>
      </c>
      <c r="B149" t="s">
        <v>1505</v>
      </c>
      <c r="C149">
        <v>1951</v>
      </c>
      <c r="D149" t="s">
        <v>278</v>
      </c>
      <c r="E149" t="s">
        <v>103</v>
      </c>
      <c r="F149" t="s">
        <v>1506</v>
      </c>
      <c r="G149" t="s">
        <v>30</v>
      </c>
      <c r="H149" t="s">
        <v>1507</v>
      </c>
      <c r="I149" t="s">
        <v>1508</v>
      </c>
      <c r="J149" t="s">
        <v>1509</v>
      </c>
      <c r="K149" t="s">
        <v>107</v>
      </c>
      <c r="L149" s="1">
        <v>46272</v>
      </c>
      <c r="M149" t="s">
        <v>484</v>
      </c>
      <c r="N149">
        <v>145086</v>
      </c>
      <c r="O149" t="s">
        <v>157</v>
      </c>
      <c r="P149" t="s">
        <v>157</v>
      </c>
      <c r="Q149">
        <v>53</v>
      </c>
      <c r="R149" t="s">
        <v>157</v>
      </c>
      <c r="S149" t="s">
        <v>1510</v>
      </c>
      <c r="T149">
        <v>82</v>
      </c>
      <c r="U149" t="s">
        <v>1511</v>
      </c>
      <c r="V149" t="s">
        <v>179</v>
      </c>
      <c r="W149" t="s">
        <v>75</v>
      </c>
      <c r="X149" t="s">
        <v>1512</v>
      </c>
      <c r="Y149" t="s">
        <v>1513</v>
      </c>
      <c r="Z149" t="s">
        <v>1456</v>
      </c>
    </row>
    <row r="150" spans="1:26" x14ac:dyDescent="0.2">
      <c r="A150">
        <v>146</v>
      </c>
      <c r="B150" t="s">
        <v>1514</v>
      </c>
      <c r="C150">
        <v>1962</v>
      </c>
      <c r="D150" t="s">
        <v>1515</v>
      </c>
      <c r="E150" t="s">
        <v>1516</v>
      </c>
      <c r="F150" t="s">
        <v>1517</v>
      </c>
      <c r="G150" t="s">
        <v>30</v>
      </c>
      <c r="H150" t="s">
        <v>1518</v>
      </c>
      <c r="I150" t="s">
        <v>1519</v>
      </c>
      <c r="J150" t="s">
        <v>1520</v>
      </c>
      <c r="K150" t="s">
        <v>107</v>
      </c>
      <c r="L150" s="1">
        <v>46272</v>
      </c>
      <c r="M150" t="s">
        <v>484</v>
      </c>
      <c r="N150">
        <v>82236</v>
      </c>
      <c r="O150" t="s">
        <v>57</v>
      </c>
      <c r="P150" t="s">
        <v>41</v>
      </c>
      <c r="Q150">
        <v>55</v>
      </c>
      <c r="R150" t="s">
        <v>54</v>
      </c>
      <c r="S150" t="s">
        <v>1521</v>
      </c>
      <c r="T150">
        <v>80</v>
      </c>
      <c r="U150" t="s">
        <v>1522</v>
      </c>
      <c r="V150" t="s">
        <v>204</v>
      </c>
      <c r="W150" t="s">
        <v>253</v>
      </c>
      <c r="X150" t="s">
        <v>1523</v>
      </c>
      <c r="Y150" t="s">
        <v>1524</v>
      </c>
      <c r="Z150" t="s">
        <v>1456</v>
      </c>
    </row>
    <row r="151" spans="1:26" x14ac:dyDescent="0.2">
      <c r="A151">
        <v>147</v>
      </c>
      <c r="B151" t="s">
        <v>1525</v>
      </c>
      <c r="C151">
        <v>2004</v>
      </c>
      <c r="D151" t="s">
        <v>1526</v>
      </c>
      <c r="E151" t="s">
        <v>141</v>
      </c>
      <c r="F151" t="s">
        <v>1527</v>
      </c>
      <c r="G151" t="s">
        <v>50</v>
      </c>
      <c r="H151" t="s">
        <v>1528</v>
      </c>
      <c r="I151" t="s">
        <v>1529</v>
      </c>
      <c r="J151" t="s">
        <v>626</v>
      </c>
      <c r="K151" t="s">
        <v>271</v>
      </c>
      <c r="L151" s="1">
        <v>46061</v>
      </c>
      <c r="M151" t="s">
        <v>250</v>
      </c>
      <c r="N151">
        <v>478277</v>
      </c>
      <c r="O151" t="s">
        <v>250</v>
      </c>
      <c r="P151" t="s">
        <v>1225</v>
      </c>
      <c r="Q151">
        <v>124</v>
      </c>
      <c r="R151" t="s">
        <v>41</v>
      </c>
      <c r="S151" t="s">
        <v>1530</v>
      </c>
      <c r="T151">
        <v>86</v>
      </c>
      <c r="U151" t="s">
        <v>1531</v>
      </c>
      <c r="V151" t="s">
        <v>38</v>
      </c>
      <c r="W151" t="s">
        <v>135</v>
      </c>
      <c r="X151" t="s">
        <v>1532</v>
      </c>
      <c r="Y151" t="s">
        <v>1533</v>
      </c>
      <c r="Z151" t="s">
        <v>1456</v>
      </c>
    </row>
    <row r="152" spans="1:26" x14ac:dyDescent="0.2">
      <c r="A152">
        <v>148</v>
      </c>
      <c r="B152" t="s">
        <v>1534</v>
      </c>
      <c r="C152">
        <v>1996</v>
      </c>
      <c r="D152" t="s">
        <v>27</v>
      </c>
      <c r="E152" t="s">
        <v>1535</v>
      </c>
      <c r="F152" t="s">
        <v>1536</v>
      </c>
      <c r="G152" t="s">
        <v>30</v>
      </c>
      <c r="H152" t="s">
        <v>1537</v>
      </c>
      <c r="I152" t="s">
        <v>1538</v>
      </c>
      <c r="J152" t="s">
        <v>118</v>
      </c>
      <c r="K152" t="s">
        <v>107</v>
      </c>
      <c r="L152" s="1">
        <v>46030</v>
      </c>
      <c r="M152" t="s">
        <v>228</v>
      </c>
      <c r="N152">
        <v>746303</v>
      </c>
      <c r="O152" t="s">
        <v>204</v>
      </c>
      <c r="P152" t="s">
        <v>204</v>
      </c>
      <c r="Q152">
        <v>67</v>
      </c>
      <c r="R152" t="s">
        <v>97</v>
      </c>
      <c r="S152" t="s">
        <v>1539</v>
      </c>
      <c r="T152">
        <v>84</v>
      </c>
      <c r="U152" t="s">
        <v>1540</v>
      </c>
      <c r="V152" t="s">
        <v>35</v>
      </c>
      <c r="W152" t="s">
        <v>75</v>
      </c>
      <c r="X152" t="s">
        <v>1541</v>
      </c>
      <c r="Y152" t="s">
        <v>1542</v>
      </c>
      <c r="Z152" t="s">
        <v>1456</v>
      </c>
    </row>
    <row r="153" spans="1:26" x14ac:dyDescent="0.2">
      <c r="A153">
        <v>149</v>
      </c>
      <c r="B153" t="s">
        <v>1543</v>
      </c>
      <c r="C153">
        <v>1954</v>
      </c>
      <c r="D153" t="s">
        <v>1544</v>
      </c>
      <c r="E153" t="s">
        <v>1545</v>
      </c>
      <c r="F153" t="s">
        <v>1546</v>
      </c>
      <c r="G153" t="s">
        <v>30</v>
      </c>
      <c r="H153" t="s">
        <v>1547</v>
      </c>
      <c r="I153" t="s">
        <v>1548</v>
      </c>
      <c r="J153" t="s">
        <v>203</v>
      </c>
      <c r="K153" t="s">
        <v>271</v>
      </c>
      <c r="L153" s="1">
        <v>46030</v>
      </c>
      <c r="M153" t="s">
        <v>228</v>
      </c>
      <c r="N153">
        <v>171135</v>
      </c>
      <c r="O153" t="s">
        <v>74</v>
      </c>
      <c r="P153" t="s">
        <v>35</v>
      </c>
      <c r="Q153">
        <v>72</v>
      </c>
      <c r="R153" t="s">
        <v>74</v>
      </c>
      <c r="S153" t="s">
        <v>1549</v>
      </c>
      <c r="T153">
        <v>84</v>
      </c>
      <c r="U153" t="s">
        <v>1550</v>
      </c>
      <c r="V153" t="s">
        <v>1551</v>
      </c>
      <c r="W153" t="s">
        <v>135</v>
      </c>
      <c r="X153" t="s">
        <v>1552</v>
      </c>
      <c r="Y153" t="s">
        <v>1553</v>
      </c>
      <c r="Z153" t="s">
        <v>1554</v>
      </c>
    </row>
    <row r="154" spans="1:26" x14ac:dyDescent="0.2">
      <c r="A154">
        <v>150</v>
      </c>
      <c r="B154" t="s">
        <v>1555</v>
      </c>
      <c r="C154">
        <v>1977</v>
      </c>
      <c r="D154" t="s">
        <v>126</v>
      </c>
      <c r="E154" t="s">
        <v>1556</v>
      </c>
      <c r="F154" t="s">
        <v>1557</v>
      </c>
      <c r="G154" t="s">
        <v>30</v>
      </c>
      <c r="H154" t="s">
        <v>1558</v>
      </c>
      <c r="I154" t="s">
        <v>1559</v>
      </c>
      <c r="J154" t="s">
        <v>167</v>
      </c>
      <c r="K154" t="s">
        <v>271</v>
      </c>
      <c r="L154" s="1">
        <v>46272</v>
      </c>
      <c r="M154" t="s">
        <v>484</v>
      </c>
      <c r="N154">
        <v>283270</v>
      </c>
      <c r="O154" t="s">
        <v>35</v>
      </c>
      <c r="P154" t="s">
        <v>74</v>
      </c>
      <c r="Q154">
        <v>83</v>
      </c>
      <c r="R154" t="s">
        <v>157</v>
      </c>
      <c r="S154" t="s">
        <v>1560</v>
      </c>
      <c r="T154">
        <v>80</v>
      </c>
      <c r="U154" t="s">
        <v>1561</v>
      </c>
      <c r="V154" t="s">
        <v>304</v>
      </c>
      <c r="W154" t="s">
        <v>253</v>
      </c>
      <c r="X154" t="s">
        <v>1562</v>
      </c>
      <c r="Y154" t="s">
        <v>1563</v>
      </c>
      <c r="Z154" t="s">
        <v>107</v>
      </c>
    </row>
    <row r="155" spans="1:26" x14ac:dyDescent="0.2">
      <c r="A155">
        <v>151</v>
      </c>
      <c r="B155" t="s">
        <v>1564</v>
      </c>
      <c r="C155">
        <v>2013</v>
      </c>
      <c r="D155" t="s">
        <v>1565</v>
      </c>
      <c r="E155" t="s">
        <v>1566</v>
      </c>
      <c r="F155" t="s">
        <v>1567</v>
      </c>
      <c r="G155" t="s">
        <v>50</v>
      </c>
      <c r="H155" t="s">
        <v>1568</v>
      </c>
      <c r="I155" t="s">
        <v>1569</v>
      </c>
      <c r="J155" t="s">
        <v>1570</v>
      </c>
      <c r="K155" t="s">
        <v>271</v>
      </c>
      <c r="L155" t="s">
        <v>564</v>
      </c>
      <c r="M155" t="s">
        <v>304</v>
      </c>
      <c r="N155">
        <v>57724</v>
      </c>
      <c r="O155" t="s">
        <v>97</v>
      </c>
      <c r="P155" t="s">
        <v>107</v>
      </c>
      <c r="Q155">
        <v>75</v>
      </c>
      <c r="R155" t="s">
        <v>179</v>
      </c>
      <c r="S155" t="s">
        <v>1571</v>
      </c>
      <c r="T155">
        <v>84</v>
      </c>
      <c r="U155" t="s">
        <v>1572</v>
      </c>
      <c r="V155" t="s">
        <v>107</v>
      </c>
      <c r="W155" t="s">
        <v>1573</v>
      </c>
      <c r="X155" t="s">
        <v>1574</v>
      </c>
      <c r="Y155" t="s">
        <v>1575</v>
      </c>
      <c r="Z155" t="s">
        <v>107</v>
      </c>
    </row>
    <row r="156" spans="1:26" x14ac:dyDescent="0.2">
      <c r="A156">
        <v>152</v>
      </c>
      <c r="B156" t="s">
        <v>1576</v>
      </c>
      <c r="C156">
        <v>1975</v>
      </c>
      <c r="D156" t="s">
        <v>571</v>
      </c>
      <c r="E156" t="s">
        <v>66</v>
      </c>
      <c r="F156" t="s">
        <v>1577</v>
      </c>
      <c r="G156" t="s">
        <v>30</v>
      </c>
      <c r="H156" t="s">
        <v>1578</v>
      </c>
      <c r="I156" t="s">
        <v>440</v>
      </c>
      <c r="J156" t="s">
        <v>1579</v>
      </c>
      <c r="K156" t="s">
        <v>107</v>
      </c>
      <c r="L156" t="s">
        <v>564</v>
      </c>
      <c r="M156" t="s">
        <v>304</v>
      </c>
      <c r="N156">
        <v>280757</v>
      </c>
      <c r="O156" t="s">
        <v>54</v>
      </c>
      <c r="P156" t="s">
        <v>54</v>
      </c>
      <c r="Q156">
        <v>67</v>
      </c>
      <c r="R156" t="s">
        <v>179</v>
      </c>
      <c r="S156" t="s">
        <v>1580</v>
      </c>
      <c r="T156">
        <v>86</v>
      </c>
      <c r="U156" t="s">
        <v>1581</v>
      </c>
      <c r="V156" t="s">
        <v>107</v>
      </c>
      <c r="W156" t="s">
        <v>75</v>
      </c>
      <c r="X156" t="s">
        <v>1582</v>
      </c>
      <c r="Y156" t="s">
        <v>1583</v>
      </c>
      <c r="Z156" t="s">
        <v>107</v>
      </c>
    </row>
    <row r="157" spans="1:26" x14ac:dyDescent="0.2">
      <c r="A157">
        <v>153</v>
      </c>
      <c r="B157" t="s">
        <v>1584</v>
      </c>
      <c r="C157">
        <v>2019</v>
      </c>
      <c r="D157" t="s">
        <v>65</v>
      </c>
      <c r="E157" t="s">
        <v>1585</v>
      </c>
      <c r="F157" t="s">
        <v>1586</v>
      </c>
      <c r="G157" t="s">
        <v>30</v>
      </c>
      <c r="H157" t="s">
        <v>1587</v>
      </c>
      <c r="K157" t="s">
        <v>107</v>
      </c>
      <c r="L157" s="1">
        <v>46272</v>
      </c>
      <c r="M157" t="s">
        <v>484</v>
      </c>
      <c r="N157">
        <v>359338</v>
      </c>
      <c r="O157" t="s">
        <v>57</v>
      </c>
      <c r="P157" t="s">
        <v>41</v>
      </c>
      <c r="Q157">
        <v>236</v>
      </c>
      <c r="R157" t="s">
        <v>204</v>
      </c>
      <c r="S157" t="s">
        <v>1588</v>
      </c>
      <c r="T157">
        <v>80</v>
      </c>
      <c r="U157" t="s">
        <v>1589</v>
      </c>
      <c r="V157" t="s">
        <v>271</v>
      </c>
      <c r="W157" t="s">
        <v>885</v>
      </c>
      <c r="X157" t="s">
        <v>1590</v>
      </c>
      <c r="Y157" t="s">
        <v>1591</v>
      </c>
      <c r="Z157" t="s">
        <v>107</v>
      </c>
    </row>
    <row r="158" spans="1:26" x14ac:dyDescent="0.2">
      <c r="A158">
        <v>154</v>
      </c>
      <c r="B158" t="s">
        <v>1592</v>
      </c>
      <c r="C158">
        <v>2004</v>
      </c>
      <c r="D158" t="s">
        <v>65</v>
      </c>
      <c r="E158" t="s">
        <v>1593</v>
      </c>
      <c r="F158" t="s">
        <v>1594</v>
      </c>
      <c r="G158" t="s">
        <v>30</v>
      </c>
      <c r="H158" t="s">
        <v>1595</v>
      </c>
      <c r="I158" t="s">
        <v>1596</v>
      </c>
      <c r="J158" t="s">
        <v>216</v>
      </c>
      <c r="K158" t="s">
        <v>271</v>
      </c>
      <c r="L158" s="1">
        <v>46030</v>
      </c>
      <c r="M158" t="s">
        <v>228</v>
      </c>
      <c r="N158">
        <v>743174</v>
      </c>
      <c r="O158" t="s">
        <v>54</v>
      </c>
      <c r="P158" t="s">
        <v>107</v>
      </c>
      <c r="Q158">
        <v>155</v>
      </c>
      <c r="R158" t="s">
        <v>179</v>
      </c>
      <c r="S158" t="s">
        <v>1597</v>
      </c>
      <c r="T158">
        <v>80</v>
      </c>
      <c r="U158" t="s">
        <v>1598</v>
      </c>
      <c r="V158" t="s">
        <v>74</v>
      </c>
      <c r="W158" t="s">
        <v>42</v>
      </c>
      <c r="X158" t="s">
        <v>1599</v>
      </c>
      <c r="Y158" t="s">
        <v>1600</v>
      </c>
      <c r="Z158" t="s">
        <v>107</v>
      </c>
    </row>
    <row r="159" spans="1:26" x14ac:dyDescent="0.2">
      <c r="A159">
        <v>155</v>
      </c>
      <c r="B159" t="s">
        <v>1601</v>
      </c>
      <c r="C159">
        <v>1941</v>
      </c>
      <c r="D159" t="s">
        <v>1602</v>
      </c>
      <c r="E159" t="s">
        <v>1603</v>
      </c>
      <c r="F159" t="s">
        <v>1604</v>
      </c>
      <c r="G159" t="s">
        <v>30</v>
      </c>
      <c r="H159" t="s">
        <v>1605</v>
      </c>
      <c r="I159" t="s">
        <v>1606</v>
      </c>
      <c r="J159" t="s">
        <v>178</v>
      </c>
      <c r="K159" t="s">
        <v>271</v>
      </c>
      <c r="L159" s="1">
        <v>46272</v>
      </c>
      <c r="M159" t="s">
        <v>484</v>
      </c>
      <c r="N159">
        <v>170463</v>
      </c>
      <c r="O159" t="s">
        <v>56</v>
      </c>
      <c r="P159" t="s">
        <v>34</v>
      </c>
      <c r="Q159">
        <v>77</v>
      </c>
      <c r="R159" t="s">
        <v>179</v>
      </c>
      <c r="S159" t="s">
        <v>1607</v>
      </c>
      <c r="T159">
        <v>78</v>
      </c>
      <c r="U159" t="s">
        <v>1608</v>
      </c>
      <c r="V159" t="s">
        <v>1241</v>
      </c>
      <c r="W159" t="s">
        <v>135</v>
      </c>
      <c r="X159" t="s">
        <v>1609</v>
      </c>
      <c r="Y159" t="s">
        <v>1610</v>
      </c>
      <c r="Z159" t="s">
        <v>107</v>
      </c>
    </row>
    <row r="160" spans="1:26" x14ac:dyDescent="0.2">
      <c r="A160">
        <v>156</v>
      </c>
      <c r="B160" t="s">
        <v>1611</v>
      </c>
      <c r="C160">
        <v>2016</v>
      </c>
      <c r="D160" t="s">
        <v>1161</v>
      </c>
      <c r="E160" t="s">
        <v>1612</v>
      </c>
      <c r="F160" t="s">
        <v>1613</v>
      </c>
      <c r="G160" t="s">
        <v>30</v>
      </c>
      <c r="H160" t="s">
        <v>1614</v>
      </c>
      <c r="K160" t="s">
        <v>107</v>
      </c>
      <c r="L160" s="1">
        <v>46061</v>
      </c>
      <c r="M160" t="s">
        <v>250</v>
      </c>
      <c r="N160">
        <v>38435</v>
      </c>
      <c r="O160" t="s">
        <v>228</v>
      </c>
      <c r="P160" t="s">
        <v>54</v>
      </c>
      <c r="Q160">
        <v>63</v>
      </c>
      <c r="R160" t="s">
        <v>157</v>
      </c>
      <c r="S160" t="s">
        <v>1615</v>
      </c>
      <c r="T160">
        <v>86</v>
      </c>
      <c r="U160" t="s">
        <v>1616</v>
      </c>
      <c r="V160" t="s">
        <v>179</v>
      </c>
      <c r="W160" t="s">
        <v>885</v>
      </c>
      <c r="X160" t="s">
        <v>1617</v>
      </c>
      <c r="Y160" t="s">
        <v>1618</v>
      </c>
      <c r="Z160" t="s">
        <v>107</v>
      </c>
    </row>
    <row r="161" spans="1:26" x14ac:dyDescent="0.2">
      <c r="A161">
        <v>157</v>
      </c>
      <c r="B161" t="s">
        <v>1619</v>
      </c>
      <c r="C161">
        <v>2010</v>
      </c>
      <c r="D161" t="s">
        <v>519</v>
      </c>
      <c r="E161" t="s">
        <v>1620</v>
      </c>
      <c r="F161" t="s">
        <v>1621</v>
      </c>
      <c r="G161" t="s">
        <v>30</v>
      </c>
      <c r="H161" t="s">
        <v>1622</v>
      </c>
      <c r="I161" t="s">
        <v>1623</v>
      </c>
      <c r="J161" t="s">
        <v>1624</v>
      </c>
      <c r="K161" t="s">
        <v>271</v>
      </c>
      <c r="L161" t="s">
        <v>564</v>
      </c>
      <c r="M161" t="s">
        <v>304</v>
      </c>
      <c r="N161">
        <v>719923</v>
      </c>
      <c r="O161" t="s">
        <v>157</v>
      </c>
      <c r="P161" t="s">
        <v>179</v>
      </c>
      <c r="Q161">
        <v>218</v>
      </c>
      <c r="R161" t="s">
        <v>157</v>
      </c>
      <c r="S161" t="s">
        <v>1625</v>
      </c>
      <c r="T161">
        <v>76</v>
      </c>
      <c r="U161" t="s">
        <v>1626</v>
      </c>
      <c r="V161" t="s">
        <v>74</v>
      </c>
      <c r="W161" t="s">
        <v>617</v>
      </c>
      <c r="X161" t="s">
        <v>1627</v>
      </c>
      <c r="Y161" t="s">
        <v>1628</v>
      </c>
      <c r="Z161" t="s">
        <v>107</v>
      </c>
    </row>
    <row r="162" spans="1:26" x14ac:dyDescent="0.2">
      <c r="A162">
        <v>158</v>
      </c>
      <c r="B162" t="s">
        <v>1629</v>
      </c>
      <c r="C162">
        <v>2004</v>
      </c>
      <c r="D162" t="s">
        <v>80</v>
      </c>
      <c r="E162" t="s">
        <v>1630</v>
      </c>
      <c r="F162" t="s">
        <v>1631</v>
      </c>
      <c r="G162" t="s">
        <v>374</v>
      </c>
      <c r="H162" t="s">
        <v>1632</v>
      </c>
      <c r="K162" t="s">
        <v>271</v>
      </c>
      <c r="L162" s="1">
        <v>46061</v>
      </c>
      <c r="M162" t="s">
        <v>250</v>
      </c>
      <c r="N162">
        <v>386690</v>
      </c>
      <c r="O162" t="s">
        <v>250</v>
      </c>
      <c r="P162" t="s">
        <v>228</v>
      </c>
      <c r="Q162">
        <v>76</v>
      </c>
      <c r="R162" t="s">
        <v>41</v>
      </c>
      <c r="S162" t="s">
        <v>1633</v>
      </c>
      <c r="T162">
        <v>82</v>
      </c>
      <c r="U162" t="s">
        <v>1634</v>
      </c>
      <c r="V162" t="s">
        <v>34</v>
      </c>
      <c r="W162" t="s">
        <v>253</v>
      </c>
      <c r="X162" t="s">
        <v>1635</v>
      </c>
      <c r="Y162" t="s">
        <v>1636</v>
      </c>
      <c r="Z162" t="s">
        <v>107</v>
      </c>
    </row>
    <row r="163" spans="1:26" x14ac:dyDescent="0.2">
      <c r="A163">
        <v>159</v>
      </c>
      <c r="B163" t="s">
        <v>1637</v>
      </c>
      <c r="C163">
        <v>2007</v>
      </c>
      <c r="D163" t="s">
        <v>519</v>
      </c>
      <c r="E163" t="s">
        <v>1638</v>
      </c>
      <c r="F163" t="s">
        <v>1639</v>
      </c>
      <c r="G163" t="s">
        <v>321</v>
      </c>
      <c r="H163" t="s">
        <v>1640</v>
      </c>
      <c r="I163" t="s">
        <v>1641</v>
      </c>
      <c r="J163" t="s">
        <v>118</v>
      </c>
      <c r="K163" t="s">
        <v>271</v>
      </c>
      <c r="L163" t="s">
        <v>564</v>
      </c>
      <c r="M163" t="s">
        <v>304</v>
      </c>
      <c r="N163">
        <v>111563</v>
      </c>
      <c r="O163" t="s">
        <v>35</v>
      </c>
      <c r="P163" t="s">
        <v>107</v>
      </c>
      <c r="Q163">
        <v>109</v>
      </c>
      <c r="R163" t="s">
        <v>157</v>
      </c>
      <c r="S163" t="s">
        <v>1642</v>
      </c>
      <c r="T163">
        <v>82</v>
      </c>
      <c r="U163" t="s">
        <v>1643</v>
      </c>
      <c r="V163" t="s">
        <v>204</v>
      </c>
      <c r="W163" t="s">
        <v>617</v>
      </c>
      <c r="X163" t="s">
        <v>1644</v>
      </c>
      <c r="Y163" t="s">
        <v>1645</v>
      </c>
      <c r="Z163" t="s">
        <v>107</v>
      </c>
    </row>
    <row r="164" spans="1:26" x14ac:dyDescent="0.2">
      <c r="A164">
        <v>160</v>
      </c>
      <c r="B164" t="s">
        <v>1646</v>
      </c>
      <c r="C164">
        <v>2017</v>
      </c>
      <c r="D164" t="s">
        <v>1647</v>
      </c>
      <c r="E164" t="s">
        <v>983</v>
      </c>
      <c r="F164" t="s">
        <v>1648</v>
      </c>
      <c r="G164" t="s">
        <v>30</v>
      </c>
      <c r="H164" t="s">
        <v>1649</v>
      </c>
      <c r="K164" t="s">
        <v>271</v>
      </c>
      <c r="L164" s="1">
        <v>46120</v>
      </c>
      <c r="M164" t="s">
        <v>271</v>
      </c>
      <c r="N164">
        <v>643266</v>
      </c>
      <c r="O164" t="s">
        <v>228</v>
      </c>
      <c r="P164" t="s">
        <v>204</v>
      </c>
      <c r="Q164">
        <v>213</v>
      </c>
      <c r="R164" t="s">
        <v>74</v>
      </c>
      <c r="S164" t="s">
        <v>1650</v>
      </c>
      <c r="T164">
        <v>82</v>
      </c>
      <c r="U164" t="s">
        <v>1651</v>
      </c>
      <c r="V164" t="s">
        <v>97</v>
      </c>
      <c r="W164" t="s">
        <v>444</v>
      </c>
      <c r="X164" t="s">
        <v>1652</v>
      </c>
      <c r="Y164" t="s">
        <v>1653</v>
      </c>
      <c r="Z164" t="s">
        <v>107</v>
      </c>
    </row>
    <row r="165" spans="1:26" x14ac:dyDescent="0.2">
      <c r="A165">
        <v>161</v>
      </c>
      <c r="B165" t="s">
        <v>1654</v>
      </c>
      <c r="C165">
        <v>2012</v>
      </c>
      <c r="D165" t="s">
        <v>211</v>
      </c>
      <c r="E165" t="s">
        <v>1655</v>
      </c>
      <c r="F165" t="s">
        <v>1656</v>
      </c>
      <c r="G165" t="s">
        <v>321</v>
      </c>
      <c r="H165" t="s">
        <v>1657</v>
      </c>
      <c r="K165" t="s">
        <v>107</v>
      </c>
      <c r="L165" s="1">
        <v>46272</v>
      </c>
      <c r="M165" t="s">
        <v>484</v>
      </c>
      <c r="N165">
        <v>108046</v>
      </c>
      <c r="O165" t="s">
        <v>38</v>
      </c>
      <c r="P165" t="s">
        <v>97</v>
      </c>
      <c r="Q165">
        <v>180</v>
      </c>
      <c r="R165" t="s">
        <v>228</v>
      </c>
      <c r="S165" t="s">
        <v>1658</v>
      </c>
      <c r="T165">
        <v>84</v>
      </c>
      <c r="U165" t="s">
        <v>1659</v>
      </c>
      <c r="V165" t="s">
        <v>228</v>
      </c>
      <c r="W165" t="s">
        <v>75</v>
      </c>
      <c r="X165" t="s">
        <v>1660</v>
      </c>
      <c r="Y165" t="s">
        <v>1661</v>
      </c>
      <c r="Z165" t="s">
        <v>1662</v>
      </c>
    </row>
    <row r="166" spans="1:26" x14ac:dyDescent="0.2">
      <c r="A166">
        <v>162</v>
      </c>
      <c r="B166" t="s">
        <v>1663</v>
      </c>
      <c r="C166">
        <v>1999</v>
      </c>
      <c r="D166" t="s">
        <v>65</v>
      </c>
      <c r="E166" t="s">
        <v>1664</v>
      </c>
      <c r="F166" t="s">
        <v>1665</v>
      </c>
      <c r="G166" t="s">
        <v>30</v>
      </c>
      <c r="H166" t="s">
        <v>1666</v>
      </c>
      <c r="I166" t="s">
        <v>1667</v>
      </c>
      <c r="J166" t="s">
        <v>1668</v>
      </c>
      <c r="K166" t="s">
        <v>271</v>
      </c>
      <c r="L166" t="s">
        <v>564</v>
      </c>
      <c r="M166" t="s">
        <v>304</v>
      </c>
      <c r="N166">
        <v>103337</v>
      </c>
      <c r="O166" t="s">
        <v>54</v>
      </c>
      <c r="P166" t="s">
        <v>204</v>
      </c>
      <c r="Q166">
        <v>74</v>
      </c>
      <c r="R166" t="s">
        <v>179</v>
      </c>
      <c r="S166" t="s">
        <v>1669</v>
      </c>
      <c r="T166">
        <v>84</v>
      </c>
      <c r="U166" t="s">
        <v>1670</v>
      </c>
      <c r="V166" t="s">
        <v>97</v>
      </c>
      <c r="W166" t="s">
        <v>444</v>
      </c>
      <c r="X166" t="s">
        <v>1671</v>
      </c>
      <c r="Y166" t="s">
        <v>1672</v>
      </c>
      <c r="Z166" t="s">
        <v>1662</v>
      </c>
    </row>
    <row r="167" spans="1:26" x14ac:dyDescent="0.2">
      <c r="A167">
        <v>163</v>
      </c>
      <c r="B167" t="s">
        <v>1673</v>
      </c>
      <c r="C167">
        <v>1971</v>
      </c>
      <c r="D167" t="s">
        <v>1674</v>
      </c>
      <c r="E167" t="s">
        <v>1675</v>
      </c>
      <c r="F167" t="s">
        <v>1676</v>
      </c>
      <c r="G167" t="s">
        <v>30</v>
      </c>
      <c r="H167" t="s">
        <v>1677</v>
      </c>
      <c r="I167" t="s">
        <v>1678</v>
      </c>
      <c r="J167" t="s">
        <v>312</v>
      </c>
      <c r="K167" t="s">
        <v>107</v>
      </c>
      <c r="L167" s="1">
        <v>46210</v>
      </c>
      <c r="M167" t="s">
        <v>1225</v>
      </c>
      <c r="N167">
        <v>143317</v>
      </c>
      <c r="O167" t="s">
        <v>57</v>
      </c>
      <c r="P167" t="s">
        <v>41</v>
      </c>
      <c r="Q167">
        <v>64</v>
      </c>
      <c r="R167" t="s">
        <v>271</v>
      </c>
      <c r="S167" t="s">
        <v>1679</v>
      </c>
      <c r="T167">
        <v>80</v>
      </c>
      <c r="U167" t="s">
        <v>1680</v>
      </c>
      <c r="V167" t="s">
        <v>271</v>
      </c>
      <c r="W167" t="s">
        <v>75</v>
      </c>
      <c r="X167" t="s">
        <v>1681</v>
      </c>
      <c r="Y167" t="s">
        <v>1682</v>
      </c>
      <c r="Z167" t="s">
        <v>1662</v>
      </c>
    </row>
    <row r="168" spans="1:26" x14ac:dyDescent="0.2">
      <c r="A168">
        <v>164</v>
      </c>
      <c r="B168" t="s">
        <v>1683</v>
      </c>
      <c r="C168">
        <v>1974</v>
      </c>
      <c r="D168" t="s">
        <v>1684</v>
      </c>
      <c r="E168" t="s">
        <v>1685</v>
      </c>
      <c r="F168" t="s">
        <v>1686</v>
      </c>
      <c r="G168" t="s">
        <v>30</v>
      </c>
      <c r="H168" t="s">
        <v>1687</v>
      </c>
      <c r="I168" t="s">
        <v>1688</v>
      </c>
      <c r="J168" t="s">
        <v>312</v>
      </c>
      <c r="K168" t="s">
        <v>271</v>
      </c>
      <c r="L168" t="s">
        <v>564</v>
      </c>
      <c r="M168" t="s">
        <v>304</v>
      </c>
      <c r="N168">
        <v>174783</v>
      </c>
      <c r="O168" t="s">
        <v>204</v>
      </c>
      <c r="P168" t="s">
        <v>107</v>
      </c>
      <c r="Q168">
        <v>55</v>
      </c>
      <c r="R168" t="s">
        <v>157</v>
      </c>
      <c r="S168" t="s">
        <v>1689</v>
      </c>
      <c r="T168">
        <v>80</v>
      </c>
      <c r="U168" t="s">
        <v>1690</v>
      </c>
      <c r="V168" t="s">
        <v>34</v>
      </c>
      <c r="W168" t="s">
        <v>978</v>
      </c>
      <c r="X168" t="s">
        <v>1691</v>
      </c>
      <c r="Y168" t="s">
        <v>1692</v>
      </c>
      <c r="Z168" t="s">
        <v>1662</v>
      </c>
    </row>
    <row r="169" spans="1:26" x14ac:dyDescent="0.2">
      <c r="A169">
        <v>165</v>
      </c>
      <c r="B169" t="s">
        <v>1693</v>
      </c>
      <c r="C169">
        <v>1964</v>
      </c>
      <c r="D169" t="s">
        <v>1694</v>
      </c>
      <c r="E169" t="s">
        <v>1695</v>
      </c>
      <c r="F169" t="s">
        <v>1696</v>
      </c>
      <c r="G169" t="s">
        <v>30</v>
      </c>
      <c r="H169" t="s">
        <v>1697</v>
      </c>
      <c r="I169" t="s">
        <v>1698</v>
      </c>
      <c r="J169" t="s">
        <v>1699</v>
      </c>
      <c r="K169" t="s">
        <v>271</v>
      </c>
      <c r="L169" s="1">
        <v>46149</v>
      </c>
      <c r="M169" t="s">
        <v>1270</v>
      </c>
      <c r="N169">
        <v>49501</v>
      </c>
      <c r="O169" t="s">
        <v>37</v>
      </c>
      <c r="P169" t="s">
        <v>157</v>
      </c>
      <c r="Q169">
        <v>65</v>
      </c>
      <c r="R169" t="s">
        <v>107</v>
      </c>
      <c r="S169" t="s">
        <v>1700</v>
      </c>
      <c r="T169">
        <v>76</v>
      </c>
      <c r="U169" t="s">
        <v>1701</v>
      </c>
      <c r="V169" t="s">
        <v>97</v>
      </c>
      <c r="W169" t="s">
        <v>135</v>
      </c>
      <c r="X169" t="s">
        <v>1702</v>
      </c>
      <c r="Y169" t="s">
        <v>1703</v>
      </c>
      <c r="Z169" t="s">
        <v>1662</v>
      </c>
    </row>
    <row r="170" spans="1:26" x14ac:dyDescent="0.2">
      <c r="A170">
        <v>166</v>
      </c>
      <c r="B170" t="s">
        <v>1704</v>
      </c>
      <c r="C170">
        <v>2019</v>
      </c>
      <c r="D170" t="s">
        <v>1705</v>
      </c>
      <c r="E170" t="s">
        <v>174</v>
      </c>
      <c r="F170" t="s">
        <v>1706</v>
      </c>
      <c r="G170" t="s">
        <v>30</v>
      </c>
      <c r="H170" t="s">
        <v>1707</v>
      </c>
      <c r="K170" t="s">
        <v>107</v>
      </c>
      <c r="L170" s="1">
        <v>46241</v>
      </c>
      <c r="M170" t="s">
        <v>757</v>
      </c>
      <c r="N170">
        <v>450758</v>
      </c>
      <c r="O170" t="s">
        <v>57</v>
      </c>
      <c r="P170" t="s">
        <v>41</v>
      </c>
      <c r="Q170">
        <v>280</v>
      </c>
      <c r="R170" t="s">
        <v>204</v>
      </c>
      <c r="S170" t="s">
        <v>1708</v>
      </c>
      <c r="T170">
        <v>78</v>
      </c>
      <c r="U170" t="s">
        <v>1709</v>
      </c>
      <c r="V170" t="s">
        <v>54</v>
      </c>
      <c r="W170" t="s">
        <v>885</v>
      </c>
      <c r="X170" t="s">
        <v>1710</v>
      </c>
      <c r="Y170" t="s">
        <v>1711</v>
      </c>
      <c r="Z170" t="s">
        <v>1662</v>
      </c>
    </row>
    <row r="171" spans="1:26" x14ac:dyDescent="0.2">
      <c r="A171">
        <v>167</v>
      </c>
      <c r="B171" t="s">
        <v>1712</v>
      </c>
      <c r="C171">
        <v>2018</v>
      </c>
      <c r="D171" t="s">
        <v>1713</v>
      </c>
      <c r="E171" t="s">
        <v>1714</v>
      </c>
      <c r="F171" t="s">
        <v>1715</v>
      </c>
      <c r="G171" t="s">
        <v>30</v>
      </c>
      <c r="H171" t="s">
        <v>1716</v>
      </c>
      <c r="K171" t="s">
        <v>271</v>
      </c>
      <c r="L171" s="1">
        <v>46030</v>
      </c>
      <c r="M171" t="s">
        <v>228</v>
      </c>
      <c r="N171">
        <v>81251</v>
      </c>
      <c r="O171" t="s">
        <v>204</v>
      </c>
      <c r="P171" t="s">
        <v>250</v>
      </c>
      <c r="Q171">
        <v>92</v>
      </c>
      <c r="R171" t="s">
        <v>97</v>
      </c>
      <c r="S171" t="s">
        <v>1717</v>
      </c>
      <c r="T171">
        <v>82</v>
      </c>
      <c r="U171" t="s">
        <v>1718</v>
      </c>
      <c r="V171" t="s">
        <v>35</v>
      </c>
      <c r="W171" t="s">
        <v>1719</v>
      </c>
      <c r="X171" t="s">
        <v>1720</v>
      </c>
      <c r="Y171" t="s">
        <v>1721</v>
      </c>
      <c r="Z171" t="s">
        <v>1662</v>
      </c>
    </row>
    <row r="172" spans="1:26" x14ac:dyDescent="0.2">
      <c r="A172">
        <v>168</v>
      </c>
      <c r="B172" t="s">
        <v>1722</v>
      </c>
      <c r="C172">
        <v>2016</v>
      </c>
      <c r="D172" t="s">
        <v>1723</v>
      </c>
      <c r="E172" t="s">
        <v>449</v>
      </c>
      <c r="F172" t="s">
        <v>1724</v>
      </c>
      <c r="G172" t="s">
        <v>30</v>
      </c>
      <c r="H172" t="s">
        <v>1725</v>
      </c>
      <c r="K172" t="s">
        <v>107</v>
      </c>
      <c r="L172" t="s">
        <v>564</v>
      </c>
      <c r="M172" t="s">
        <v>304</v>
      </c>
      <c r="N172">
        <v>713968</v>
      </c>
      <c r="O172" t="s">
        <v>57</v>
      </c>
      <c r="P172" t="s">
        <v>97</v>
      </c>
      <c r="Q172">
        <v>333</v>
      </c>
      <c r="R172" t="s">
        <v>304</v>
      </c>
      <c r="S172" t="s">
        <v>1726</v>
      </c>
      <c r="T172">
        <v>82</v>
      </c>
      <c r="U172" t="s">
        <v>1727</v>
      </c>
      <c r="V172" t="s">
        <v>271</v>
      </c>
      <c r="W172" t="s">
        <v>75</v>
      </c>
      <c r="X172" t="s">
        <v>1728</v>
      </c>
      <c r="Y172" t="s">
        <v>1729</v>
      </c>
      <c r="Z172" t="s">
        <v>1662</v>
      </c>
    </row>
    <row r="173" spans="1:26" x14ac:dyDescent="0.2">
      <c r="A173">
        <v>169</v>
      </c>
      <c r="B173" t="s">
        <v>1730</v>
      </c>
      <c r="C173">
        <v>1968</v>
      </c>
      <c r="D173" t="s">
        <v>1731</v>
      </c>
      <c r="E173" t="s">
        <v>1732</v>
      </c>
      <c r="F173" t="s">
        <v>1733</v>
      </c>
      <c r="G173" t="s">
        <v>30</v>
      </c>
      <c r="H173" t="s">
        <v>1734</v>
      </c>
      <c r="I173" t="s">
        <v>191</v>
      </c>
      <c r="J173" t="s">
        <v>1735</v>
      </c>
      <c r="K173" t="s">
        <v>107</v>
      </c>
      <c r="L173" s="1">
        <v>46241</v>
      </c>
      <c r="M173" t="s">
        <v>757</v>
      </c>
      <c r="N173">
        <v>144684</v>
      </c>
      <c r="O173" t="s">
        <v>97</v>
      </c>
      <c r="P173" t="s">
        <v>97</v>
      </c>
      <c r="Q173">
        <v>85</v>
      </c>
      <c r="R173" t="s">
        <v>271</v>
      </c>
      <c r="S173" t="s">
        <v>1736</v>
      </c>
      <c r="T173">
        <v>80</v>
      </c>
      <c r="U173" t="s">
        <v>1737</v>
      </c>
      <c r="V173" t="s">
        <v>97</v>
      </c>
      <c r="W173" t="s">
        <v>1738</v>
      </c>
      <c r="X173" t="s">
        <v>1739</v>
      </c>
      <c r="Y173" t="s">
        <v>1740</v>
      </c>
      <c r="Z173" t="s">
        <v>1662</v>
      </c>
    </row>
    <row r="174" spans="1:26" x14ac:dyDescent="0.2">
      <c r="A174">
        <v>170</v>
      </c>
      <c r="B174" t="s">
        <v>1741</v>
      </c>
      <c r="C174">
        <v>1992</v>
      </c>
      <c r="D174" t="s">
        <v>186</v>
      </c>
      <c r="E174" t="s">
        <v>1593</v>
      </c>
      <c r="F174" t="s">
        <v>1742</v>
      </c>
      <c r="G174" t="s">
        <v>30</v>
      </c>
      <c r="H174" t="s">
        <v>1743</v>
      </c>
      <c r="I174" t="s">
        <v>1744</v>
      </c>
      <c r="J174" t="s">
        <v>216</v>
      </c>
      <c r="K174" t="s">
        <v>271</v>
      </c>
      <c r="L174" s="1">
        <v>46061</v>
      </c>
      <c r="M174" t="s">
        <v>250</v>
      </c>
      <c r="N174">
        <v>451817</v>
      </c>
      <c r="O174" t="s">
        <v>107</v>
      </c>
      <c r="P174" t="s">
        <v>157</v>
      </c>
      <c r="Q174">
        <v>70</v>
      </c>
      <c r="R174" t="s">
        <v>97</v>
      </c>
      <c r="S174" t="s">
        <v>1745</v>
      </c>
      <c r="T174">
        <v>84</v>
      </c>
      <c r="U174" t="s">
        <v>1746</v>
      </c>
      <c r="V174" t="s">
        <v>228</v>
      </c>
      <c r="W174" t="s">
        <v>1747</v>
      </c>
      <c r="X174" t="s">
        <v>1748</v>
      </c>
      <c r="Y174" t="s">
        <v>1749</v>
      </c>
      <c r="Z174" t="s">
        <v>1662</v>
      </c>
    </row>
    <row r="175" spans="1:26" x14ac:dyDescent="0.2">
      <c r="A175">
        <v>171</v>
      </c>
      <c r="B175" t="s">
        <v>1750</v>
      </c>
      <c r="C175">
        <v>1984</v>
      </c>
      <c r="D175" t="s">
        <v>1031</v>
      </c>
      <c r="E175" t="s">
        <v>1032</v>
      </c>
      <c r="F175" t="s">
        <v>1751</v>
      </c>
      <c r="G175" t="s">
        <v>30</v>
      </c>
      <c r="H175" t="s">
        <v>1752</v>
      </c>
      <c r="I175" t="s">
        <v>1753</v>
      </c>
      <c r="J175" t="s">
        <v>576</v>
      </c>
      <c r="K175" t="s">
        <v>107</v>
      </c>
      <c r="L175" s="1">
        <v>46030</v>
      </c>
      <c r="M175" t="s">
        <v>228</v>
      </c>
      <c r="N175">
        <v>958738</v>
      </c>
      <c r="O175" t="s">
        <v>271</v>
      </c>
      <c r="P175" t="s">
        <v>179</v>
      </c>
      <c r="Q175">
        <v>76</v>
      </c>
      <c r="R175" t="s">
        <v>54</v>
      </c>
      <c r="S175" t="s">
        <v>1754</v>
      </c>
      <c r="T175">
        <v>78</v>
      </c>
      <c r="U175" t="s">
        <v>1755</v>
      </c>
      <c r="V175" t="s">
        <v>35</v>
      </c>
      <c r="W175" t="s">
        <v>253</v>
      </c>
      <c r="X175" t="s">
        <v>1756</v>
      </c>
      <c r="Y175" t="s">
        <v>1757</v>
      </c>
      <c r="Z175" t="s">
        <v>1758</v>
      </c>
    </row>
    <row r="176" spans="1:26" x14ac:dyDescent="0.2">
      <c r="A176">
        <v>172</v>
      </c>
      <c r="B176" t="s">
        <v>1759</v>
      </c>
      <c r="C176">
        <v>1974</v>
      </c>
      <c r="D176" t="s">
        <v>288</v>
      </c>
      <c r="E176" t="s">
        <v>28</v>
      </c>
      <c r="F176" t="s">
        <v>1760</v>
      </c>
      <c r="G176" t="s">
        <v>30</v>
      </c>
      <c r="H176" t="s">
        <v>1761</v>
      </c>
      <c r="I176" t="s">
        <v>1762</v>
      </c>
      <c r="J176" t="s">
        <v>33</v>
      </c>
      <c r="K176" t="s">
        <v>107</v>
      </c>
      <c r="L176" s="1">
        <v>46210</v>
      </c>
      <c r="M176" t="s">
        <v>1225</v>
      </c>
      <c r="N176">
        <v>129280</v>
      </c>
      <c r="O176" t="s">
        <v>157</v>
      </c>
      <c r="P176" t="s">
        <v>41</v>
      </c>
      <c r="Q176">
        <v>91</v>
      </c>
      <c r="R176" t="s">
        <v>54</v>
      </c>
      <c r="S176" t="s">
        <v>1763</v>
      </c>
      <c r="T176">
        <v>84</v>
      </c>
      <c r="U176" t="s">
        <v>1764</v>
      </c>
      <c r="V176" t="s">
        <v>204</v>
      </c>
      <c r="W176" t="s">
        <v>253</v>
      </c>
      <c r="X176" t="s">
        <v>1765</v>
      </c>
      <c r="Y176" t="s">
        <v>1766</v>
      </c>
      <c r="Z176" t="s">
        <v>1758</v>
      </c>
    </row>
    <row r="177" spans="1:26" x14ac:dyDescent="0.2">
      <c r="A177">
        <v>173</v>
      </c>
      <c r="B177" t="s">
        <v>1767</v>
      </c>
      <c r="C177">
        <v>2010</v>
      </c>
      <c r="D177" t="s">
        <v>65</v>
      </c>
      <c r="E177" t="s">
        <v>1768</v>
      </c>
      <c r="F177" t="s">
        <v>1769</v>
      </c>
      <c r="G177" t="s">
        <v>30</v>
      </c>
      <c r="H177" t="s">
        <v>1770</v>
      </c>
      <c r="I177" t="s">
        <v>1771</v>
      </c>
      <c r="J177" t="s">
        <v>53</v>
      </c>
      <c r="K177" t="s">
        <v>107</v>
      </c>
      <c r="L177" s="1">
        <v>46241</v>
      </c>
      <c r="M177" t="s">
        <v>757</v>
      </c>
      <c r="N177">
        <v>786518</v>
      </c>
      <c r="O177" t="s">
        <v>38</v>
      </c>
      <c r="P177" t="s">
        <v>74</v>
      </c>
      <c r="Q177">
        <v>222</v>
      </c>
      <c r="R177" t="s">
        <v>204</v>
      </c>
      <c r="S177" t="s">
        <v>1772</v>
      </c>
      <c r="T177">
        <v>78</v>
      </c>
      <c r="U177" t="s">
        <v>1773</v>
      </c>
      <c r="V177" t="s">
        <v>204</v>
      </c>
      <c r="W177" t="s">
        <v>1774</v>
      </c>
      <c r="X177" t="s">
        <v>1775</v>
      </c>
      <c r="Y177" t="s">
        <v>1776</v>
      </c>
      <c r="Z177" t="s">
        <v>1758</v>
      </c>
    </row>
    <row r="178" spans="1:26" x14ac:dyDescent="0.2">
      <c r="A178">
        <v>174</v>
      </c>
      <c r="B178" t="s">
        <v>1777</v>
      </c>
      <c r="C178">
        <v>2019</v>
      </c>
      <c r="D178" t="s">
        <v>318</v>
      </c>
      <c r="E178" t="s">
        <v>1778</v>
      </c>
      <c r="F178" t="s">
        <v>1779</v>
      </c>
      <c r="G178" t="s">
        <v>30</v>
      </c>
      <c r="H178" t="s">
        <v>1780</v>
      </c>
      <c r="K178" t="s">
        <v>271</v>
      </c>
      <c r="L178" s="1">
        <v>46241</v>
      </c>
      <c r="M178" t="s">
        <v>757</v>
      </c>
      <c r="N178">
        <v>265269</v>
      </c>
      <c r="O178" t="s">
        <v>74</v>
      </c>
      <c r="P178" t="s">
        <v>179</v>
      </c>
      <c r="Q178">
        <v>252</v>
      </c>
      <c r="R178" t="s">
        <v>157</v>
      </c>
      <c r="S178" t="s">
        <v>1781</v>
      </c>
      <c r="T178">
        <v>84</v>
      </c>
      <c r="U178" t="s">
        <v>1782</v>
      </c>
      <c r="V178" t="s">
        <v>304</v>
      </c>
      <c r="W178" t="s">
        <v>75</v>
      </c>
      <c r="X178" t="s">
        <v>1783</v>
      </c>
      <c r="Y178" t="s">
        <v>1784</v>
      </c>
      <c r="Z178" t="s">
        <v>1758</v>
      </c>
    </row>
    <row r="179" spans="1:26" x14ac:dyDescent="0.2">
      <c r="A179">
        <v>175</v>
      </c>
      <c r="B179" t="s">
        <v>1785</v>
      </c>
      <c r="C179">
        <v>2004</v>
      </c>
      <c r="D179" t="s">
        <v>211</v>
      </c>
      <c r="E179" t="s">
        <v>1786</v>
      </c>
      <c r="F179" t="s">
        <v>1787</v>
      </c>
      <c r="G179" t="s">
        <v>30</v>
      </c>
      <c r="H179" t="s">
        <v>1788</v>
      </c>
      <c r="I179" t="s">
        <v>1789</v>
      </c>
      <c r="J179" t="s">
        <v>1790</v>
      </c>
      <c r="K179" t="s">
        <v>271</v>
      </c>
      <c r="L179" s="1">
        <v>46030</v>
      </c>
      <c r="M179" t="s">
        <v>228</v>
      </c>
      <c r="N179">
        <v>300246</v>
      </c>
      <c r="O179" t="s">
        <v>74</v>
      </c>
      <c r="P179" t="s">
        <v>107</v>
      </c>
      <c r="Q179">
        <v>116</v>
      </c>
      <c r="R179" t="s">
        <v>179</v>
      </c>
      <c r="S179" t="s">
        <v>1791</v>
      </c>
      <c r="T179">
        <v>86</v>
      </c>
      <c r="U179" t="s">
        <v>1792</v>
      </c>
      <c r="V179" t="s">
        <v>757</v>
      </c>
      <c r="W179" t="s">
        <v>617</v>
      </c>
      <c r="X179" t="s">
        <v>1793</v>
      </c>
      <c r="Y179" t="s">
        <v>1794</v>
      </c>
      <c r="Z179" t="s">
        <v>1758</v>
      </c>
    </row>
    <row r="180" spans="1:26" x14ac:dyDescent="0.2">
      <c r="A180">
        <v>176</v>
      </c>
      <c r="B180" t="s">
        <v>1795</v>
      </c>
      <c r="C180">
        <v>2003</v>
      </c>
      <c r="D180" t="s">
        <v>65</v>
      </c>
      <c r="E180" t="s">
        <v>1796</v>
      </c>
      <c r="F180" t="s">
        <v>1797</v>
      </c>
      <c r="G180" t="s">
        <v>155</v>
      </c>
      <c r="H180" t="s">
        <v>1798</v>
      </c>
      <c r="I180" t="s">
        <v>1799</v>
      </c>
      <c r="J180" t="s">
        <v>335</v>
      </c>
      <c r="K180" t="s">
        <v>271</v>
      </c>
      <c r="L180" t="s">
        <v>564</v>
      </c>
      <c r="M180" t="s">
        <v>304</v>
      </c>
      <c r="N180">
        <v>88675</v>
      </c>
      <c r="O180" t="s">
        <v>107</v>
      </c>
      <c r="P180" t="s">
        <v>228</v>
      </c>
      <c r="Q180">
        <v>55</v>
      </c>
      <c r="R180" t="s">
        <v>97</v>
      </c>
      <c r="S180" t="s">
        <v>1800</v>
      </c>
      <c r="T180">
        <v>84</v>
      </c>
      <c r="U180" t="s">
        <v>1801</v>
      </c>
      <c r="V180" t="s">
        <v>97</v>
      </c>
      <c r="W180" t="s">
        <v>75</v>
      </c>
      <c r="X180" t="s">
        <v>1802</v>
      </c>
      <c r="Y180" t="s">
        <v>1803</v>
      </c>
      <c r="Z180" t="s">
        <v>1758</v>
      </c>
    </row>
    <row r="181" spans="1:26" x14ac:dyDescent="0.2">
      <c r="A181">
        <v>177</v>
      </c>
      <c r="B181" t="s">
        <v>1804</v>
      </c>
      <c r="C181">
        <v>1999</v>
      </c>
      <c r="D181" t="s">
        <v>1805</v>
      </c>
      <c r="E181" t="s">
        <v>743</v>
      </c>
      <c r="F181" t="s">
        <v>1806</v>
      </c>
      <c r="G181" t="s">
        <v>30</v>
      </c>
      <c r="H181" t="s">
        <v>1807</v>
      </c>
      <c r="I181" t="s">
        <v>1808</v>
      </c>
      <c r="J181" t="s">
        <v>216</v>
      </c>
      <c r="K181" t="s">
        <v>271</v>
      </c>
      <c r="L181" s="1">
        <v>46030</v>
      </c>
      <c r="M181" t="s">
        <v>228</v>
      </c>
      <c r="N181">
        <v>242282</v>
      </c>
      <c r="O181" t="s">
        <v>107</v>
      </c>
      <c r="P181" t="s">
        <v>204</v>
      </c>
      <c r="Q181">
        <v>87</v>
      </c>
      <c r="R181" t="s">
        <v>179</v>
      </c>
      <c r="S181" t="s">
        <v>1809</v>
      </c>
      <c r="T181">
        <v>86</v>
      </c>
      <c r="U181" t="s">
        <v>1810</v>
      </c>
      <c r="V181" t="s">
        <v>54</v>
      </c>
      <c r="W181" t="s">
        <v>75</v>
      </c>
      <c r="Y181" t="s">
        <v>1811</v>
      </c>
      <c r="Z181" t="s">
        <v>1758</v>
      </c>
    </row>
    <row r="182" spans="1:26" x14ac:dyDescent="0.2">
      <c r="A182">
        <v>178</v>
      </c>
      <c r="B182" t="s">
        <v>1812</v>
      </c>
      <c r="C182">
        <v>2010</v>
      </c>
      <c r="D182" t="s">
        <v>1813</v>
      </c>
      <c r="E182" t="s">
        <v>1345</v>
      </c>
      <c r="F182" t="s">
        <v>1814</v>
      </c>
      <c r="G182" t="s">
        <v>321</v>
      </c>
      <c r="H182" t="s">
        <v>1815</v>
      </c>
      <c r="I182" t="s">
        <v>1816</v>
      </c>
      <c r="J182" t="s">
        <v>335</v>
      </c>
      <c r="K182" t="s">
        <v>271</v>
      </c>
      <c r="L182" s="1">
        <v>46089</v>
      </c>
      <c r="M182" t="s">
        <v>204</v>
      </c>
      <c r="N182">
        <v>224467</v>
      </c>
      <c r="O182" t="s">
        <v>304</v>
      </c>
      <c r="P182" t="s">
        <v>304</v>
      </c>
      <c r="Q182">
        <v>100</v>
      </c>
      <c r="R182" t="s">
        <v>97</v>
      </c>
      <c r="S182" t="s">
        <v>1817</v>
      </c>
      <c r="T182">
        <v>88</v>
      </c>
      <c r="U182" t="s">
        <v>1818</v>
      </c>
      <c r="V182" t="s">
        <v>157</v>
      </c>
      <c r="W182" t="s">
        <v>1819</v>
      </c>
      <c r="X182" t="s">
        <v>1820</v>
      </c>
      <c r="Y182" t="s">
        <v>1821</v>
      </c>
      <c r="Z182" t="s">
        <v>1758</v>
      </c>
    </row>
    <row r="183" spans="1:26" x14ac:dyDescent="0.2">
      <c r="A183">
        <v>179</v>
      </c>
      <c r="B183" t="s">
        <v>1822</v>
      </c>
      <c r="C183">
        <v>1975</v>
      </c>
      <c r="D183" t="s">
        <v>1823</v>
      </c>
      <c r="E183" t="s">
        <v>199</v>
      </c>
      <c r="F183" t="s">
        <v>1824</v>
      </c>
      <c r="G183" t="s">
        <v>30</v>
      </c>
      <c r="H183" t="s">
        <v>1825</v>
      </c>
      <c r="I183" t="s">
        <v>1826</v>
      </c>
      <c r="J183" t="s">
        <v>178</v>
      </c>
      <c r="K183" t="s">
        <v>204</v>
      </c>
      <c r="L183" s="1">
        <v>46030</v>
      </c>
      <c r="M183" t="s">
        <v>228</v>
      </c>
      <c r="N183">
        <v>191699</v>
      </c>
      <c r="O183" t="s">
        <v>97</v>
      </c>
      <c r="P183" t="s">
        <v>271</v>
      </c>
      <c r="Q183">
        <v>81</v>
      </c>
      <c r="R183" t="s">
        <v>97</v>
      </c>
      <c r="S183" t="s">
        <v>1827</v>
      </c>
      <c r="T183">
        <v>88</v>
      </c>
      <c r="U183" t="s">
        <v>1828</v>
      </c>
      <c r="V183" t="s">
        <v>1225</v>
      </c>
      <c r="W183" t="s">
        <v>135</v>
      </c>
      <c r="X183" t="s">
        <v>1829</v>
      </c>
      <c r="Y183" t="s">
        <v>1830</v>
      </c>
      <c r="Z183" t="s">
        <v>1758</v>
      </c>
    </row>
    <row r="184" spans="1:26" x14ac:dyDescent="0.2">
      <c r="A184">
        <v>180</v>
      </c>
      <c r="B184" t="s">
        <v>1831</v>
      </c>
      <c r="C184">
        <v>2022</v>
      </c>
      <c r="D184" t="s">
        <v>65</v>
      </c>
      <c r="E184" t="s">
        <v>1832</v>
      </c>
      <c r="F184" t="s">
        <v>1833</v>
      </c>
      <c r="G184" t="s">
        <v>1834</v>
      </c>
      <c r="H184" t="s">
        <v>1835</v>
      </c>
      <c r="K184" t="s">
        <v>271</v>
      </c>
      <c r="L184" s="1">
        <v>46210</v>
      </c>
      <c r="M184" t="s">
        <v>1225</v>
      </c>
      <c r="N184">
        <v>25779</v>
      </c>
      <c r="O184" t="s">
        <v>97</v>
      </c>
      <c r="P184" t="s">
        <v>157</v>
      </c>
      <c r="Q184">
        <v>87</v>
      </c>
      <c r="S184" t="s">
        <v>1836</v>
      </c>
      <c r="T184">
        <v>82</v>
      </c>
      <c r="U184" t="s">
        <v>1837</v>
      </c>
      <c r="V184" t="s">
        <v>179</v>
      </c>
      <c r="X184" t="s">
        <v>1838</v>
      </c>
      <c r="Y184" t="s">
        <v>1839</v>
      </c>
      <c r="Z184" t="s">
        <v>1840</v>
      </c>
    </row>
    <row r="185" spans="1:26" x14ac:dyDescent="0.2">
      <c r="A185">
        <v>181</v>
      </c>
      <c r="B185" t="s">
        <v>1841</v>
      </c>
      <c r="C185">
        <v>2023</v>
      </c>
      <c r="D185" t="s">
        <v>1842</v>
      </c>
      <c r="E185" t="s">
        <v>1843</v>
      </c>
      <c r="F185" t="s">
        <v>1844</v>
      </c>
      <c r="G185" t="s">
        <v>30</v>
      </c>
      <c r="H185" t="s">
        <v>1845</v>
      </c>
      <c r="K185" t="s">
        <v>271</v>
      </c>
      <c r="L185" s="1">
        <v>46180</v>
      </c>
      <c r="M185" t="s">
        <v>1241</v>
      </c>
      <c r="N185">
        <v>69587</v>
      </c>
      <c r="O185" t="s">
        <v>41</v>
      </c>
      <c r="P185" t="s">
        <v>97</v>
      </c>
      <c r="Q185">
        <v>147</v>
      </c>
      <c r="S185" t="s">
        <v>1846</v>
      </c>
      <c r="T185">
        <v>78</v>
      </c>
      <c r="U185" t="s">
        <v>1847</v>
      </c>
      <c r="V185" t="s">
        <v>41</v>
      </c>
      <c r="X185" t="s">
        <v>1848</v>
      </c>
      <c r="Y185" t="s">
        <v>1849</v>
      </c>
      <c r="Z185" t="s">
        <v>1840</v>
      </c>
    </row>
    <row r="186" spans="1:26" x14ac:dyDescent="0.2">
      <c r="A186">
        <v>182</v>
      </c>
      <c r="B186" t="s">
        <v>1850</v>
      </c>
      <c r="C186">
        <v>1956</v>
      </c>
      <c r="D186" t="s">
        <v>1851</v>
      </c>
      <c r="E186" t="s">
        <v>1852</v>
      </c>
      <c r="F186" t="s">
        <v>1853</v>
      </c>
      <c r="G186" t="s">
        <v>30</v>
      </c>
      <c r="H186" t="s">
        <v>1854</v>
      </c>
      <c r="I186" t="s">
        <v>191</v>
      </c>
      <c r="J186" t="s">
        <v>1855</v>
      </c>
      <c r="K186" t="s">
        <v>107</v>
      </c>
      <c r="L186" s="1">
        <v>46210</v>
      </c>
      <c r="M186" t="s">
        <v>1225</v>
      </c>
      <c r="N186">
        <v>57126</v>
      </c>
      <c r="O186" t="s">
        <v>35</v>
      </c>
      <c r="P186" t="s">
        <v>74</v>
      </c>
      <c r="Q186">
        <v>60</v>
      </c>
      <c r="R186" t="s">
        <v>250</v>
      </c>
      <c r="S186" t="s">
        <v>1856</v>
      </c>
      <c r="T186">
        <v>76</v>
      </c>
      <c r="U186" t="s">
        <v>1857</v>
      </c>
      <c r="V186" t="s">
        <v>97</v>
      </c>
      <c r="W186" t="s">
        <v>1858</v>
      </c>
      <c r="X186" t="s">
        <v>1859</v>
      </c>
      <c r="Y186" t="s">
        <v>1860</v>
      </c>
      <c r="Z186" t="s">
        <v>1861</v>
      </c>
    </row>
    <row r="187" spans="1:26" x14ac:dyDescent="0.2">
      <c r="A187">
        <v>183</v>
      </c>
      <c r="B187" t="s">
        <v>1862</v>
      </c>
      <c r="C187">
        <v>1999</v>
      </c>
      <c r="D187" t="s">
        <v>1863</v>
      </c>
      <c r="E187" t="s">
        <v>622</v>
      </c>
      <c r="F187" t="s">
        <v>1864</v>
      </c>
      <c r="G187" t="s">
        <v>30</v>
      </c>
      <c r="H187" t="s">
        <v>1865</v>
      </c>
      <c r="I187" t="s">
        <v>1866</v>
      </c>
      <c r="J187" t="s">
        <v>1668</v>
      </c>
      <c r="K187" t="s">
        <v>107</v>
      </c>
      <c r="L187" s="1">
        <v>46272</v>
      </c>
      <c r="M187" t="s">
        <v>484</v>
      </c>
      <c r="N187">
        <v>641688</v>
      </c>
      <c r="O187" t="s">
        <v>157</v>
      </c>
      <c r="P187" t="s">
        <v>179</v>
      </c>
      <c r="Q187">
        <v>111</v>
      </c>
      <c r="R187" t="s">
        <v>204</v>
      </c>
      <c r="S187" t="s">
        <v>1867</v>
      </c>
      <c r="T187">
        <v>78</v>
      </c>
      <c r="U187" t="s">
        <v>1868</v>
      </c>
      <c r="V187" t="s">
        <v>35</v>
      </c>
      <c r="W187" t="s">
        <v>444</v>
      </c>
      <c r="X187" t="s">
        <v>1869</v>
      </c>
      <c r="Y187" t="s">
        <v>1870</v>
      </c>
      <c r="Z187" t="s">
        <v>1861</v>
      </c>
    </row>
    <row r="188" spans="1:26" x14ac:dyDescent="0.2">
      <c r="A188">
        <v>184</v>
      </c>
      <c r="B188" t="s">
        <v>1871</v>
      </c>
      <c r="C188">
        <v>1975</v>
      </c>
      <c r="D188" t="s">
        <v>1872</v>
      </c>
      <c r="E188" t="s">
        <v>81</v>
      </c>
      <c r="F188" t="s">
        <v>1873</v>
      </c>
      <c r="G188" t="s">
        <v>30</v>
      </c>
      <c r="H188" t="s">
        <v>1874</v>
      </c>
      <c r="I188" t="s">
        <v>1875</v>
      </c>
      <c r="J188" t="s">
        <v>85</v>
      </c>
      <c r="K188" t="s">
        <v>271</v>
      </c>
      <c r="L188" s="1">
        <v>46030</v>
      </c>
      <c r="M188" t="s">
        <v>228</v>
      </c>
      <c r="N188">
        <v>689859</v>
      </c>
      <c r="O188" t="s">
        <v>179</v>
      </c>
      <c r="P188" t="s">
        <v>35</v>
      </c>
      <c r="Q188">
        <v>112</v>
      </c>
      <c r="R188" t="s">
        <v>54</v>
      </c>
      <c r="S188" t="s">
        <v>1876</v>
      </c>
      <c r="T188">
        <v>78</v>
      </c>
      <c r="U188" t="s">
        <v>1877</v>
      </c>
      <c r="V188" t="s">
        <v>204</v>
      </c>
      <c r="W188" t="s">
        <v>1502</v>
      </c>
      <c r="X188" t="s">
        <v>1878</v>
      </c>
      <c r="Y188" t="s">
        <v>1879</v>
      </c>
      <c r="Z188" t="s">
        <v>1861</v>
      </c>
    </row>
    <row r="189" spans="1:26" x14ac:dyDescent="0.2">
      <c r="A189">
        <v>185</v>
      </c>
      <c r="B189" t="s">
        <v>1880</v>
      </c>
      <c r="C189">
        <v>2000</v>
      </c>
      <c r="D189" t="s">
        <v>448</v>
      </c>
      <c r="E189" t="s">
        <v>1881</v>
      </c>
      <c r="F189" t="s">
        <v>1882</v>
      </c>
      <c r="G189" t="s">
        <v>30</v>
      </c>
      <c r="H189" t="s">
        <v>1883</v>
      </c>
      <c r="I189" t="s">
        <v>1884</v>
      </c>
      <c r="J189" t="s">
        <v>1885</v>
      </c>
      <c r="K189" t="s">
        <v>204</v>
      </c>
      <c r="L189" s="1">
        <v>46272</v>
      </c>
      <c r="M189" t="s">
        <v>484</v>
      </c>
      <c r="N189">
        <v>302521</v>
      </c>
      <c r="O189" t="s">
        <v>41</v>
      </c>
      <c r="P189" t="s">
        <v>204</v>
      </c>
      <c r="Q189">
        <v>121</v>
      </c>
      <c r="R189" t="s">
        <v>179</v>
      </c>
      <c r="S189" t="s">
        <v>1886</v>
      </c>
      <c r="T189">
        <v>82</v>
      </c>
      <c r="U189" t="s">
        <v>1887</v>
      </c>
      <c r="V189" t="s">
        <v>54</v>
      </c>
      <c r="W189" t="s">
        <v>42</v>
      </c>
      <c r="X189" t="s">
        <v>1888</v>
      </c>
      <c r="Y189" t="s">
        <v>1889</v>
      </c>
      <c r="Z189" t="s">
        <v>1861</v>
      </c>
    </row>
    <row r="190" spans="1:26" x14ac:dyDescent="0.2">
      <c r="A190">
        <v>186</v>
      </c>
      <c r="B190" t="s">
        <v>1890</v>
      </c>
      <c r="C190">
        <v>2014</v>
      </c>
      <c r="D190" t="s">
        <v>1891</v>
      </c>
      <c r="E190" t="s">
        <v>1892</v>
      </c>
      <c r="F190" t="s">
        <v>1893</v>
      </c>
      <c r="G190" t="s">
        <v>30</v>
      </c>
      <c r="H190" t="s">
        <v>1894</v>
      </c>
      <c r="I190" t="s">
        <v>1895</v>
      </c>
      <c r="J190" t="s">
        <v>1570</v>
      </c>
      <c r="K190" t="s">
        <v>271</v>
      </c>
      <c r="L190" t="s">
        <v>564</v>
      </c>
      <c r="M190" t="s">
        <v>304</v>
      </c>
      <c r="N190">
        <v>65443</v>
      </c>
      <c r="O190" t="s">
        <v>107</v>
      </c>
      <c r="P190" t="s">
        <v>271</v>
      </c>
      <c r="Q190">
        <v>71</v>
      </c>
      <c r="R190" t="s">
        <v>97</v>
      </c>
      <c r="S190" t="s">
        <v>1896</v>
      </c>
      <c r="T190">
        <v>84</v>
      </c>
      <c r="U190" t="s">
        <v>1897</v>
      </c>
      <c r="V190" t="s">
        <v>107</v>
      </c>
      <c r="W190" t="s">
        <v>75</v>
      </c>
      <c r="X190" t="s">
        <v>1898</v>
      </c>
      <c r="Y190" t="s">
        <v>1899</v>
      </c>
      <c r="Z190" t="s">
        <v>1861</v>
      </c>
    </row>
    <row r="191" spans="1:26" x14ac:dyDescent="0.2">
      <c r="A191">
        <v>187</v>
      </c>
      <c r="B191" t="s">
        <v>1900</v>
      </c>
      <c r="C191">
        <v>1995</v>
      </c>
      <c r="D191" t="s">
        <v>211</v>
      </c>
      <c r="E191" t="s">
        <v>1786</v>
      </c>
      <c r="F191" t="s">
        <v>1901</v>
      </c>
      <c r="G191" t="s">
        <v>30</v>
      </c>
      <c r="H191" t="s">
        <v>1902</v>
      </c>
      <c r="I191" t="s">
        <v>1903</v>
      </c>
      <c r="J191" t="s">
        <v>893</v>
      </c>
      <c r="K191" t="s">
        <v>271</v>
      </c>
      <c r="L191" s="1">
        <v>46030</v>
      </c>
      <c r="M191" t="s">
        <v>228</v>
      </c>
      <c r="N191">
        <v>356358</v>
      </c>
      <c r="O191" t="s">
        <v>484</v>
      </c>
      <c r="P191" t="s">
        <v>204</v>
      </c>
      <c r="Q191">
        <v>51</v>
      </c>
      <c r="R191" t="s">
        <v>97</v>
      </c>
      <c r="S191" t="s">
        <v>1904</v>
      </c>
      <c r="T191">
        <v>86</v>
      </c>
      <c r="U191" t="s">
        <v>1905</v>
      </c>
      <c r="V191" t="s">
        <v>97</v>
      </c>
      <c r="W191" t="s">
        <v>75</v>
      </c>
      <c r="X191" t="s">
        <v>1906</v>
      </c>
      <c r="Y191" t="s">
        <v>1907</v>
      </c>
      <c r="Z191" t="s">
        <v>1861</v>
      </c>
    </row>
    <row r="192" spans="1:26" x14ac:dyDescent="0.2">
      <c r="A192">
        <v>188</v>
      </c>
      <c r="B192" t="s">
        <v>1908</v>
      </c>
      <c r="C192">
        <v>1982</v>
      </c>
      <c r="D192" t="s">
        <v>1909</v>
      </c>
      <c r="E192" t="s">
        <v>549</v>
      </c>
      <c r="F192" t="s">
        <v>1910</v>
      </c>
      <c r="G192" t="s">
        <v>30</v>
      </c>
      <c r="H192" t="s">
        <v>1911</v>
      </c>
      <c r="I192" t="s">
        <v>1912</v>
      </c>
      <c r="J192" t="s">
        <v>216</v>
      </c>
      <c r="K192" t="s">
        <v>271</v>
      </c>
      <c r="L192" s="1">
        <v>46030</v>
      </c>
      <c r="M192" t="s">
        <v>228</v>
      </c>
      <c r="N192">
        <v>849918</v>
      </c>
      <c r="O192" t="s">
        <v>271</v>
      </c>
      <c r="P192" t="s">
        <v>107</v>
      </c>
      <c r="Q192">
        <v>117</v>
      </c>
      <c r="R192" t="s">
        <v>157</v>
      </c>
      <c r="S192" t="s">
        <v>1913</v>
      </c>
      <c r="T192">
        <v>82</v>
      </c>
      <c r="U192" t="s">
        <v>1914</v>
      </c>
      <c r="V192" t="s">
        <v>179</v>
      </c>
      <c r="W192" t="s">
        <v>75</v>
      </c>
      <c r="X192" t="s">
        <v>1915</v>
      </c>
      <c r="Y192" t="s">
        <v>1916</v>
      </c>
      <c r="Z192" t="s">
        <v>1861</v>
      </c>
    </row>
    <row r="193" spans="1:26" x14ac:dyDescent="0.2">
      <c r="A193">
        <v>189</v>
      </c>
      <c r="B193" t="s">
        <v>1917</v>
      </c>
      <c r="C193">
        <v>2014</v>
      </c>
      <c r="D193" t="s">
        <v>65</v>
      </c>
      <c r="E193" t="s">
        <v>1786</v>
      </c>
      <c r="F193" t="s">
        <v>1918</v>
      </c>
      <c r="G193" t="s">
        <v>30</v>
      </c>
      <c r="H193" t="s">
        <v>1919</v>
      </c>
      <c r="I193" t="s">
        <v>1920</v>
      </c>
      <c r="J193" t="s">
        <v>1260</v>
      </c>
      <c r="K193" t="s">
        <v>107</v>
      </c>
      <c r="L193" s="1">
        <v>46272</v>
      </c>
      <c r="M193" t="s">
        <v>484</v>
      </c>
      <c r="N193">
        <v>374552</v>
      </c>
      <c r="O193" t="s">
        <v>36</v>
      </c>
      <c r="P193" t="s">
        <v>38</v>
      </c>
      <c r="Q193">
        <v>252</v>
      </c>
      <c r="R193" t="s">
        <v>757</v>
      </c>
      <c r="S193" t="s">
        <v>1921</v>
      </c>
      <c r="T193">
        <v>76</v>
      </c>
      <c r="U193" t="s">
        <v>1922</v>
      </c>
      <c r="V193" t="s">
        <v>484</v>
      </c>
      <c r="W193" t="s">
        <v>1923</v>
      </c>
      <c r="X193" t="s">
        <v>1924</v>
      </c>
      <c r="Y193" t="s">
        <v>1925</v>
      </c>
      <c r="Z193" t="s">
        <v>1861</v>
      </c>
    </row>
    <row r="194" spans="1:26" x14ac:dyDescent="0.2">
      <c r="A194">
        <v>190</v>
      </c>
      <c r="B194" t="s">
        <v>1926</v>
      </c>
      <c r="C194">
        <v>2016</v>
      </c>
      <c r="D194" t="s">
        <v>65</v>
      </c>
      <c r="E194" t="s">
        <v>1927</v>
      </c>
      <c r="F194" t="s">
        <v>1928</v>
      </c>
      <c r="G194" t="s">
        <v>30</v>
      </c>
      <c r="H194" t="s">
        <v>1929</v>
      </c>
      <c r="K194" t="s">
        <v>107</v>
      </c>
      <c r="L194" s="1">
        <v>46119</v>
      </c>
      <c r="M194" t="s">
        <v>1930</v>
      </c>
      <c r="N194">
        <v>340819</v>
      </c>
      <c r="O194" t="s">
        <v>132</v>
      </c>
      <c r="P194" t="s">
        <v>35</v>
      </c>
      <c r="Q194">
        <v>265</v>
      </c>
      <c r="R194" t="s">
        <v>1225</v>
      </c>
      <c r="S194" t="s">
        <v>1931</v>
      </c>
      <c r="T194">
        <v>84</v>
      </c>
      <c r="U194" t="s">
        <v>1932</v>
      </c>
      <c r="V194" t="s">
        <v>304</v>
      </c>
      <c r="W194" t="s">
        <v>75</v>
      </c>
      <c r="X194" t="s">
        <v>1933</v>
      </c>
      <c r="Y194" t="s">
        <v>1934</v>
      </c>
      <c r="Z194" t="s">
        <v>1935</v>
      </c>
    </row>
    <row r="195" spans="1:26" x14ac:dyDescent="0.2">
      <c r="A195">
        <v>191</v>
      </c>
      <c r="B195" t="s">
        <v>1936</v>
      </c>
      <c r="C195">
        <v>2015</v>
      </c>
      <c r="D195" t="s">
        <v>643</v>
      </c>
      <c r="E195" t="s">
        <v>1937</v>
      </c>
      <c r="F195" t="s">
        <v>1938</v>
      </c>
      <c r="G195" t="s">
        <v>30</v>
      </c>
      <c r="H195" t="s">
        <v>1939</v>
      </c>
      <c r="K195" t="s">
        <v>204</v>
      </c>
      <c r="L195" s="1">
        <v>46030</v>
      </c>
      <c r="M195" t="s">
        <v>228</v>
      </c>
      <c r="N195">
        <v>465914</v>
      </c>
      <c r="O195" t="s">
        <v>54</v>
      </c>
      <c r="P195" t="s">
        <v>107</v>
      </c>
      <c r="Q195">
        <v>225</v>
      </c>
      <c r="R195" t="s">
        <v>97</v>
      </c>
      <c r="S195" t="s">
        <v>1940</v>
      </c>
      <c r="T195">
        <v>80</v>
      </c>
      <c r="U195" t="s">
        <v>1941</v>
      </c>
      <c r="V195" t="s">
        <v>107</v>
      </c>
      <c r="W195" t="s">
        <v>135</v>
      </c>
      <c r="X195" t="s">
        <v>1942</v>
      </c>
      <c r="Y195" t="s">
        <v>1943</v>
      </c>
      <c r="Z195" t="s">
        <v>1935</v>
      </c>
    </row>
    <row r="196" spans="1:26" x14ac:dyDescent="0.2">
      <c r="A196">
        <v>192</v>
      </c>
      <c r="B196" t="s">
        <v>1944</v>
      </c>
      <c r="C196">
        <v>1946</v>
      </c>
      <c r="D196" t="s">
        <v>1602</v>
      </c>
      <c r="E196" t="s">
        <v>1945</v>
      </c>
      <c r="F196" t="s">
        <v>1946</v>
      </c>
      <c r="G196" t="s">
        <v>30</v>
      </c>
      <c r="H196" t="s">
        <v>1947</v>
      </c>
      <c r="I196" t="s">
        <v>191</v>
      </c>
      <c r="J196" t="s">
        <v>216</v>
      </c>
      <c r="K196" t="s">
        <v>271</v>
      </c>
      <c r="L196" s="1">
        <v>46272</v>
      </c>
      <c r="M196" t="s">
        <v>484</v>
      </c>
      <c r="N196">
        <v>92865</v>
      </c>
      <c r="O196" t="s">
        <v>54</v>
      </c>
      <c r="P196" t="s">
        <v>157</v>
      </c>
      <c r="Q196">
        <v>52</v>
      </c>
      <c r="R196" t="s">
        <v>179</v>
      </c>
      <c r="S196" t="s">
        <v>1948</v>
      </c>
      <c r="T196">
        <v>80</v>
      </c>
      <c r="U196" t="s">
        <v>1949</v>
      </c>
      <c r="V196" t="s">
        <v>54</v>
      </c>
      <c r="W196" t="s">
        <v>75</v>
      </c>
      <c r="X196" t="s">
        <v>1950</v>
      </c>
      <c r="Y196" t="s">
        <v>1951</v>
      </c>
      <c r="Z196" t="s">
        <v>1935</v>
      </c>
    </row>
    <row r="197" spans="1:26" x14ac:dyDescent="0.2">
      <c r="A197">
        <v>193</v>
      </c>
      <c r="B197" t="s">
        <v>1952</v>
      </c>
      <c r="C197">
        <v>1940</v>
      </c>
      <c r="D197" t="s">
        <v>234</v>
      </c>
      <c r="E197" t="s">
        <v>1945</v>
      </c>
      <c r="F197" t="s">
        <v>1953</v>
      </c>
      <c r="G197" t="s">
        <v>30</v>
      </c>
      <c r="H197" t="s">
        <v>1954</v>
      </c>
      <c r="I197" t="s">
        <v>191</v>
      </c>
      <c r="J197" t="s">
        <v>53</v>
      </c>
      <c r="K197" t="s">
        <v>204</v>
      </c>
      <c r="L197" s="1">
        <v>46241</v>
      </c>
      <c r="M197" t="s">
        <v>757</v>
      </c>
      <c r="N197">
        <v>65318</v>
      </c>
      <c r="P197" t="s">
        <v>35</v>
      </c>
      <c r="Q197">
        <v>62</v>
      </c>
      <c r="R197" t="s">
        <v>54</v>
      </c>
      <c r="S197" t="s">
        <v>1955</v>
      </c>
      <c r="T197">
        <v>80</v>
      </c>
      <c r="U197" t="s">
        <v>1956</v>
      </c>
      <c r="V197" t="s">
        <v>107</v>
      </c>
      <c r="W197" t="s">
        <v>253</v>
      </c>
      <c r="X197" t="s">
        <v>1957</v>
      </c>
      <c r="Y197" t="s">
        <v>1958</v>
      </c>
      <c r="Z197" t="s">
        <v>1959</v>
      </c>
    </row>
    <row r="198" spans="1:26" x14ac:dyDescent="0.2">
      <c r="A198">
        <v>194</v>
      </c>
      <c r="B198" t="s">
        <v>1960</v>
      </c>
      <c r="C198">
        <v>1999</v>
      </c>
      <c r="D198" t="s">
        <v>992</v>
      </c>
      <c r="E198" t="s">
        <v>1961</v>
      </c>
      <c r="F198" t="s">
        <v>1962</v>
      </c>
      <c r="G198" t="s">
        <v>492</v>
      </c>
      <c r="H198" t="s">
        <v>1963</v>
      </c>
      <c r="I198" t="s">
        <v>1964</v>
      </c>
      <c r="J198" t="s">
        <v>335</v>
      </c>
      <c r="K198" t="s">
        <v>204</v>
      </c>
      <c r="L198" s="1">
        <v>46241</v>
      </c>
      <c r="M198" t="s">
        <v>757</v>
      </c>
      <c r="N198">
        <v>106182</v>
      </c>
      <c r="O198" t="s">
        <v>179</v>
      </c>
      <c r="P198" t="s">
        <v>204</v>
      </c>
      <c r="Q198">
        <v>57</v>
      </c>
      <c r="R198" t="s">
        <v>157</v>
      </c>
      <c r="S198" t="s">
        <v>1965</v>
      </c>
      <c r="T198">
        <v>84</v>
      </c>
      <c r="U198" t="s">
        <v>1966</v>
      </c>
      <c r="V198" t="s">
        <v>107</v>
      </c>
      <c r="W198" t="s">
        <v>75</v>
      </c>
      <c r="X198" t="s">
        <v>1967</v>
      </c>
      <c r="Y198" t="s">
        <v>1968</v>
      </c>
      <c r="Z198" t="s">
        <v>1969</v>
      </c>
    </row>
    <row r="199" spans="1:26" x14ac:dyDescent="0.2">
      <c r="A199">
        <v>195</v>
      </c>
      <c r="B199" t="s">
        <v>1970</v>
      </c>
      <c r="C199">
        <v>1976</v>
      </c>
      <c r="D199" t="s">
        <v>65</v>
      </c>
      <c r="E199" t="s">
        <v>66</v>
      </c>
      <c r="F199" t="s">
        <v>1971</v>
      </c>
      <c r="G199" t="s">
        <v>30</v>
      </c>
      <c r="H199" t="s">
        <v>1972</v>
      </c>
      <c r="I199" t="s">
        <v>1973</v>
      </c>
      <c r="J199" t="s">
        <v>1974</v>
      </c>
      <c r="K199" t="s">
        <v>204</v>
      </c>
      <c r="L199" s="1">
        <v>46030</v>
      </c>
      <c r="M199" t="s">
        <v>228</v>
      </c>
      <c r="N199">
        <v>178013</v>
      </c>
      <c r="O199" t="s">
        <v>204</v>
      </c>
      <c r="P199" t="s">
        <v>107</v>
      </c>
      <c r="Q199">
        <v>57</v>
      </c>
      <c r="R199" t="s">
        <v>97</v>
      </c>
      <c r="S199" t="s">
        <v>1975</v>
      </c>
      <c r="T199">
        <v>86</v>
      </c>
      <c r="U199" t="s">
        <v>1976</v>
      </c>
      <c r="V199" t="s">
        <v>228</v>
      </c>
      <c r="W199" t="s">
        <v>75</v>
      </c>
      <c r="X199" t="s">
        <v>1977</v>
      </c>
      <c r="Y199" t="s">
        <v>1978</v>
      </c>
      <c r="Z199" t="s">
        <v>1969</v>
      </c>
    </row>
    <row r="200" spans="1:26" x14ac:dyDescent="0.2">
      <c r="A200">
        <v>196</v>
      </c>
      <c r="B200" t="s">
        <v>1979</v>
      </c>
      <c r="C200">
        <v>2003</v>
      </c>
      <c r="D200" t="s">
        <v>1980</v>
      </c>
      <c r="E200" t="s">
        <v>1230</v>
      </c>
      <c r="F200" t="s">
        <v>1981</v>
      </c>
      <c r="G200" t="s">
        <v>155</v>
      </c>
      <c r="H200" t="s">
        <v>1982</v>
      </c>
      <c r="I200" t="s">
        <v>1983</v>
      </c>
      <c r="J200" t="s">
        <v>1984</v>
      </c>
      <c r="K200" t="s">
        <v>204</v>
      </c>
      <c r="L200" s="1">
        <v>46089</v>
      </c>
      <c r="M200" t="s">
        <v>204</v>
      </c>
      <c r="N200">
        <v>673464</v>
      </c>
      <c r="O200" t="s">
        <v>757</v>
      </c>
      <c r="P200" t="s">
        <v>1270</v>
      </c>
      <c r="Q200">
        <v>128</v>
      </c>
      <c r="R200" t="s">
        <v>74</v>
      </c>
      <c r="S200" t="s">
        <v>1985</v>
      </c>
      <c r="T200">
        <v>88</v>
      </c>
      <c r="U200" t="s">
        <v>1986</v>
      </c>
      <c r="V200" t="s">
        <v>41</v>
      </c>
      <c r="X200" t="s">
        <v>1987</v>
      </c>
      <c r="Y200" t="s">
        <v>1988</v>
      </c>
      <c r="Z200" t="s">
        <v>1969</v>
      </c>
    </row>
    <row r="201" spans="1:26" x14ac:dyDescent="0.2">
      <c r="A201">
        <v>197</v>
      </c>
      <c r="B201" t="s">
        <v>1989</v>
      </c>
      <c r="C201">
        <v>2003</v>
      </c>
      <c r="D201" t="s">
        <v>1990</v>
      </c>
      <c r="E201" t="s">
        <v>1991</v>
      </c>
      <c r="F201" t="s">
        <v>1992</v>
      </c>
      <c r="G201" t="s">
        <v>321</v>
      </c>
      <c r="H201" t="s">
        <v>1993</v>
      </c>
      <c r="K201" t="s">
        <v>204</v>
      </c>
      <c r="L201" s="1">
        <v>46210</v>
      </c>
      <c r="M201" t="s">
        <v>1225</v>
      </c>
      <c r="N201">
        <v>58151</v>
      </c>
      <c r="O201" t="s">
        <v>74</v>
      </c>
      <c r="P201" t="s">
        <v>271</v>
      </c>
      <c r="Q201">
        <v>85</v>
      </c>
      <c r="R201" t="s">
        <v>54</v>
      </c>
      <c r="S201" t="s">
        <v>1994</v>
      </c>
      <c r="T201">
        <v>80</v>
      </c>
      <c r="U201" t="s">
        <v>1995</v>
      </c>
      <c r="V201" t="s">
        <v>179</v>
      </c>
      <c r="W201" t="s">
        <v>75</v>
      </c>
      <c r="X201" t="s">
        <v>1996</v>
      </c>
      <c r="Y201" t="s">
        <v>1997</v>
      </c>
      <c r="Z201" t="s">
        <v>1969</v>
      </c>
    </row>
    <row r="202" spans="1:26" x14ac:dyDescent="0.2">
      <c r="A202">
        <v>198</v>
      </c>
      <c r="B202" t="s">
        <v>1998</v>
      </c>
      <c r="C202">
        <v>2009</v>
      </c>
      <c r="D202" t="s">
        <v>593</v>
      </c>
      <c r="E202" t="s">
        <v>1999</v>
      </c>
      <c r="F202" t="s">
        <v>2000</v>
      </c>
      <c r="G202" t="s">
        <v>321</v>
      </c>
      <c r="H202" t="s">
        <v>2001</v>
      </c>
      <c r="I202" t="s">
        <v>2002</v>
      </c>
      <c r="J202" t="s">
        <v>335</v>
      </c>
      <c r="K202" t="s">
        <v>271</v>
      </c>
      <c r="L202" s="1">
        <v>46241</v>
      </c>
      <c r="M202" t="s">
        <v>757</v>
      </c>
      <c r="N202">
        <v>104716</v>
      </c>
      <c r="O202" t="s">
        <v>41</v>
      </c>
      <c r="P202" t="s">
        <v>107</v>
      </c>
      <c r="Q202">
        <v>118</v>
      </c>
      <c r="R202" t="s">
        <v>107</v>
      </c>
      <c r="S202" t="s">
        <v>2003</v>
      </c>
      <c r="T202">
        <v>84</v>
      </c>
      <c r="U202" t="s">
        <v>2004</v>
      </c>
      <c r="V202" t="s">
        <v>204</v>
      </c>
      <c r="W202" t="s">
        <v>75</v>
      </c>
      <c r="X202" t="s">
        <v>2005</v>
      </c>
      <c r="Y202" t="s">
        <v>2006</v>
      </c>
      <c r="Z202" t="s">
        <v>1969</v>
      </c>
    </row>
    <row r="203" spans="1:26" x14ac:dyDescent="0.2">
      <c r="A203">
        <v>199</v>
      </c>
      <c r="B203" t="s">
        <v>2007</v>
      </c>
      <c r="C203">
        <v>2008</v>
      </c>
      <c r="D203" t="s">
        <v>211</v>
      </c>
      <c r="E203" t="s">
        <v>1535</v>
      </c>
      <c r="F203" t="s">
        <v>2008</v>
      </c>
      <c r="G203" t="s">
        <v>30</v>
      </c>
      <c r="H203" t="s">
        <v>2009</v>
      </c>
      <c r="I203" t="s">
        <v>2010</v>
      </c>
      <c r="J203" t="s">
        <v>2011</v>
      </c>
      <c r="K203" t="s">
        <v>271</v>
      </c>
      <c r="L203" t="s">
        <v>564</v>
      </c>
      <c r="M203" t="s">
        <v>304</v>
      </c>
      <c r="N203">
        <v>893294</v>
      </c>
      <c r="O203" t="s">
        <v>271</v>
      </c>
      <c r="P203" t="s">
        <v>271</v>
      </c>
      <c r="Q203">
        <v>162</v>
      </c>
      <c r="R203" t="s">
        <v>54</v>
      </c>
      <c r="S203" t="s">
        <v>2012</v>
      </c>
      <c r="T203">
        <v>78</v>
      </c>
      <c r="U203" t="s">
        <v>2013</v>
      </c>
      <c r="V203" t="s">
        <v>34</v>
      </c>
      <c r="W203" t="s">
        <v>135</v>
      </c>
      <c r="X203" t="s">
        <v>2014</v>
      </c>
      <c r="Y203" t="s">
        <v>2015</v>
      </c>
      <c r="Z203" t="s">
        <v>1969</v>
      </c>
    </row>
    <row r="204" spans="1:26" x14ac:dyDescent="0.2">
      <c r="A204">
        <v>200</v>
      </c>
      <c r="B204" t="s">
        <v>2016</v>
      </c>
      <c r="C204">
        <v>2017</v>
      </c>
      <c r="D204" t="s">
        <v>2017</v>
      </c>
      <c r="E204" t="s">
        <v>2018</v>
      </c>
      <c r="F204" t="s">
        <v>2019</v>
      </c>
      <c r="G204" t="s">
        <v>30</v>
      </c>
      <c r="H204" t="s">
        <v>2020</v>
      </c>
      <c r="K204" t="s">
        <v>271</v>
      </c>
      <c r="L204" s="1">
        <v>46241</v>
      </c>
      <c r="M204" t="s">
        <v>757</v>
      </c>
      <c r="N204">
        <v>104591</v>
      </c>
      <c r="O204" t="s">
        <v>157</v>
      </c>
      <c r="P204" t="s">
        <v>179</v>
      </c>
      <c r="Q204">
        <v>183</v>
      </c>
      <c r="R204" t="s">
        <v>271</v>
      </c>
      <c r="S204" t="s">
        <v>2021</v>
      </c>
      <c r="T204">
        <v>84</v>
      </c>
      <c r="U204" t="s">
        <v>2022</v>
      </c>
      <c r="V204" t="s">
        <v>271</v>
      </c>
      <c r="W204" t="s">
        <v>1747</v>
      </c>
      <c r="X204" t="s">
        <v>2023</v>
      </c>
      <c r="Y204" t="s">
        <v>2024</v>
      </c>
      <c r="Z204" t="s">
        <v>1969</v>
      </c>
    </row>
    <row r="205" spans="1:26" x14ac:dyDescent="0.2">
      <c r="A205">
        <v>201</v>
      </c>
      <c r="B205" t="s">
        <v>2025</v>
      </c>
      <c r="C205">
        <v>1964</v>
      </c>
      <c r="D205" t="s">
        <v>2026</v>
      </c>
      <c r="E205" t="s">
        <v>1285</v>
      </c>
      <c r="F205" t="s">
        <v>2027</v>
      </c>
      <c r="G205" t="s">
        <v>30</v>
      </c>
      <c r="H205" t="s">
        <v>2028</v>
      </c>
      <c r="I205" t="s">
        <v>2029</v>
      </c>
      <c r="J205" t="s">
        <v>216</v>
      </c>
      <c r="K205" t="s">
        <v>204</v>
      </c>
      <c r="L205" s="1">
        <v>46210</v>
      </c>
      <c r="M205" t="s">
        <v>1225</v>
      </c>
      <c r="N205">
        <v>104578</v>
      </c>
      <c r="O205" t="s">
        <v>38</v>
      </c>
      <c r="P205" t="s">
        <v>97</v>
      </c>
      <c r="Q205">
        <v>54</v>
      </c>
      <c r="R205" t="s">
        <v>54</v>
      </c>
      <c r="S205" t="s">
        <v>2030</v>
      </c>
      <c r="T205">
        <v>72</v>
      </c>
      <c r="U205" t="s">
        <v>2031</v>
      </c>
      <c r="V205" t="s">
        <v>54</v>
      </c>
      <c r="X205" t="s">
        <v>2032</v>
      </c>
      <c r="Y205" t="s">
        <v>2033</v>
      </c>
      <c r="Z205" t="s">
        <v>1969</v>
      </c>
    </row>
    <row r="206" spans="1:26" x14ac:dyDescent="0.2">
      <c r="A206">
        <v>202</v>
      </c>
      <c r="B206" t="s">
        <v>2034</v>
      </c>
      <c r="C206">
        <v>1973</v>
      </c>
      <c r="D206" t="s">
        <v>2035</v>
      </c>
      <c r="E206" t="s">
        <v>2036</v>
      </c>
      <c r="F206" t="s">
        <v>2037</v>
      </c>
      <c r="G206" t="s">
        <v>30</v>
      </c>
      <c r="H206" t="s">
        <v>2038</v>
      </c>
      <c r="I206" t="s">
        <v>2039</v>
      </c>
      <c r="J206" t="s">
        <v>85</v>
      </c>
      <c r="K206" t="s">
        <v>204</v>
      </c>
      <c r="L206" s="1">
        <v>46089</v>
      </c>
      <c r="M206" t="s">
        <v>204</v>
      </c>
      <c r="N206">
        <v>288739</v>
      </c>
      <c r="O206" t="s">
        <v>204</v>
      </c>
      <c r="P206" t="s">
        <v>271</v>
      </c>
      <c r="Q206">
        <v>69</v>
      </c>
      <c r="R206" t="s">
        <v>74</v>
      </c>
      <c r="S206" t="s">
        <v>2040</v>
      </c>
      <c r="T206">
        <v>84</v>
      </c>
      <c r="U206" t="s">
        <v>2041</v>
      </c>
      <c r="V206" t="s">
        <v>304</v>
      </c>
      <c r="W206" t="s">
        <v>75</v>
      </c>
      <c r="X206" t="s">
        <v>2042</v>
      </c>
      <c r="Y206" t="s">
        <v>2043</v>
      </c>
      <c r="Z206" t="s">
        <v>1969</v>
      </c>
    </row>
    <row r="207" spans="1:26" x14ac:dyDescent="0.2">
      <c r="A207">
        <v>203</v>
      </c>
      <c r="B207" t="s">
        <v>2044</v>
      </c>
      <c r="C207">
        <v>1930</v>
      </c>
      <c r="D207" t="s">
        <v>267</v>
      </c>
      <c r="E207" t="s">
        <v>2045</v>
      </c>
      <c r="F207" t="s">
        <v>2046</v>
      </c>
      <c r="G207" t="s">
        <v>30</v>
      </c>
      <c r="H207" t="s">
        <v>2047</v>
      </c>
      <c r="I207" t="s">
        <v>2048</v>
      </c>
      <c r="J207" t="s">
        <v>85</v>
      </c>
      <c r="K207" t="s">
        <v>271</v>
      </c>
      <c r="L207" s="1">
        <v>46030</v>
      </c>
      <c r="M207" t="s">
        <v>228</v>
      </c>
      <c r="N207">
        <v>69684</v>
      </c>
      <c r="O207" t="s">
        <v>74</v>
      </c>
      <c r="P207" t="s">
        <v>35</v>
      </c>
      <c r="Q207">
        <v>56</v>
      </c>
      <c r="R207" t="s">
        <v>54</v>
      </c>
      <c r="S207" t="s">
        <v>2049</v>
      </c>
      <c r="T207">
        <v>84</v>
      </c>
      <c r="U207" t="s">
        <v>2050</v>
      </c>
      <c r="V207" t="s">
        <v>2051</v>
      </c>
      <c r="W207" t="s">
        <v>75</v>
      </c>
      <c r="X207" t="s">
        <v>2052</v>
      </c>
      <c r="Y207" t="s">
        <v>2053</v>
      </c>
      <c r="Z207" t="s">
        <v>271</v>
      </c>
    </row>
    <row r="208" spans="1:26" x14ac:dyDescent="0.2">
      <c r="A208">
        <v>204</v>
      </c>
      <c r="B208" t="s">
        <v>2054</v>
      </c>
      <c r="C208">
        <v>2024</v>
      </c>
      <c r="D208" t="s">
        <v>65</v>
      </c>
      <c r="E208" t="s">
        <v>2055</v>
      </c>
      <c r="F208" t="s">
        <v>2056</v>
      </c>
      <c r="G208" t="s">
        <v>30</v>
      </c>
      <c r="H208" t="s">
        <v>2057</v>
      </c>
      <c r="K208" t="s">
        <v>271</v>
      </c>
      <c r="L208" s="1">
        <v>46149</v>
      </c>
      <c r="M208" t="s">
        <v>1270</v>
      </c>
      <c r="N208">
        <v>68946</v>
      </c>
      <c r="O208" t="s">
        <v>41</v>
      </c>
      <c r="P208" t="s">
        <v>157</v>
      </c>
      <c r="Q208">
        <v>175</v>
      </c>
      <c r="T208">
        <v>80</v>
      </c>
      <c r="U208" t="s">
        <v>2058</v>
      </c>
      <c r="V208" t="s">
        <v>179</v>
      </c>
      <c r="W208" t="s">
        <v>1350</v>
      </c>
      <c r="X208" t="s">
        <v>2059</v>
      </c>
      <c r="Y208" t="s">
        <v>2060</v>
      </c>
      <c r="Z208" t="s">
        <v>271</v>
      </c>
    </row>
    <row r="209" spans="1:26" x14ac:dyDescent="0.2">
      <c r="A209">
        <v>205</v>
      </c>
      <c r="B209" t="s">
        <v>2061</v>
      </c>
      <c r="C209">
        <v>2013</v>
      </c>
      <c r="D209" t="s">
        <v>2062</v>
      </c>
      <c r="E209" t="s">
        <v>2063</v>
      </c>
      <c r="F209" t="s">
        <v>2064</v>
      </c>
      <c r="G209" t="s">
        <v>30</v>
      </c>
      <c r="H209" t="s">
        <v>2065</v>
      </c>
      <c r="I209" t="s">
        <v>2066</v>
      </c>
      <c r="J209" t="s">
        <v>216</v>
      </c>
      <c r="K209" t="s">
        <v>271</v>
      </c>
      <c r="L209" t="s">
        <v>564</v>
      </c>
      <c r="M209" t="s">
        <v>304</v>
      </c>
      <c r="N209">
        <v>698369</v>
      </c>
      <c r="O209" t="s">
        <v>74</v>
      </c>
      <c r="P209" t="s">
        <v>179</v>
      </c>
      <c r="Q209">
        <v>247</v>
      </c>
      <c r="R209" t="s">
        <v>228</v>
      </c>
      <c r="S209" t="s">
        <v>2067</v>
      </c>
      <c r="T209">
        <v>80</v>
      </c>
      <c r="U209" t="s">
        <v>2068</v>
      </c>
      <c r="V209" t="s">
        <v>107</v>
      </c>
      <c r="W209" t="s">
        <v>253</v>
      </c>
      <c r="X209" t="s">
        <v>2069</v>
      </c>
      <c r="Y209" t="s">
        <v>2070</v>
      </c>
      <c r="Z209" t="s">
        <v>271</v>
      </c>
    </row>
    <row r="210" spans="1:26" x14ac:dyDescent="0.2">
      <c r="A210">
        <v>206</v>
      </c>
      <c r="B210" t="s">
        <v>2071</v>
      </c>
      <c r="C210">
        <v>2009</v>
      </c>
      <c r="D210" t="s">
        <v>2072</v>
      </c>
      <c r="E210" t="s">
        <v>2073</v>
      </c>
      <c r="F210" t="s">
        <v>2074</v>
      </c>
      <c r="G210" t="s">
        <v>492</v>
      </c>
      <c r="H210" t="s">
        <v>2075</v>
      </c>
      <c r="I210" t="s">
        <v>2076</v>
      </c>
      <c r="J210" t="s">
        <v>335</v>
      </c>
      <c r="K210" t="s">
        <v>204</v>
      </c>
      <c r="L210" s="1">
        <v>46061</v>
      </c>
      <c r="M210" t="s">
        <v>250</v>
      </c>
      <c r="N210">
        <v>231256</v>
      </c>
      <c r="O210" t="s">
        <v>304</v>
      </c>
      <c r="P210" t="s">
        <v>757</v>
      </c>
      <c r="Q210">
        <v>110</v>
      </c>
      <c r="R210" t="s">
        <v>97</v>
      </c>
      <c r="S210" t="s">
        <v>2077</v>
      </c>
      <c r="T210">
        <v>84</v>
      </c>
      <c r="U210" t="s">
        <v>2078</v>
      </c>
      <c r="V210" t="s">
        <v>74</v>
      </c>
      <c r="W210" t="s">
        <v>75</v>
      </c>
      <c r="X210" t="s">
        <v>2079</v>
      </c>
      <c r="Y210" t="s">
        <v>2080</v>
      </c>
      <c r="Z210" t="s">
        <v>271</v>
      </c>
    </row>
    <row r="211" spans="1:26" x14ac:dyDescent="0.2">
      <c r="A211">
        <v>207</v>
      </c>
      <c r="B211" t="s">
        <v>2081</v>
      </c>
      <c r="C211">
        <v>1980</v>
      </c>
      <c r="D211" t="s">
        <v>519</v>
      </c>
      <c r="E211" t="s">
        <v>1664</v>
      </c>
      <c r="F211" t="s">
        <v>2082</v>
      </c>
      <c r="G211" t="s">
        <v>30</v>
      </c>
      <c r="H211" t="s">
        <v>2083</v>
      </c>
      <c r="I211" t="s">
        <v>2084</v>
      </c>
      <c r="J211" t="s">
        <v>2085</v>
      </c>
      <c r="K211" t="s">
        <v>204</v>
      </c>
      <c r="L211" s="1">
        <v>46061</v>
      </c>
      <c r="M211" t="s">
        <v>250</v>
      </c>
      <c r="N211">
        <v>271067</v>
      </c>
      <c r="O211" t="s">
        <v>757</v>
      </c>
      <c r="P211" t="s">
        <v>204</v>
      </c>
      <c r="Q211">
        <v>62</v>
      </c>
      <c r="R211" t="s">
        <v>97</v>
      </c>
      <c r="S211" t="s">
        <v>2086</v>
      </c>
      <c r="T211">
        <v>86</v>
      </c>
      <c r="U211" t="s">
        <v>2087</v>
      </c>
      <c r="V211" t="s">
        <v>54</v>
      </c>
      <c r="W211" t="s">
        <v>617</v>
      </c>
      <c r="X211" t="s">
        <v>2088</v>
      </c>
      <c r="Y211" t="s">
        <v>2089</v>
      </c>
      <c r="Z211" t="s">
        <v>271</v>
      </c>
    </row>
    <row r="212" spans="1:26" x14ac:dyDescent="0.2">
      <c r="A212">
        <v>208</v>
      </c>
      <c r="B212" t="s">
        <v>2090</v>
      </c>
      <c r="C212">
        <v>1992</v>
      </c>
      <c r="D212" t="s">
        <v>2091</v>
      </c>
      <c r="E212" t="s">
        <v>2092</v>
      </c>
      <c r="F212" t="s">
        <v>2093</v>
      </c>
      <c r="G212" t="s">
        <v>30</v>
      </c>
      <c r="H212" t="s">
        <v>2094</v>
      </c>
      <c r="I212" t="s">
        <v>2095</v>
      </c>
      <c r="J212" t="s">
        <v>2096</v>
      </c>
      <c r="K212" t="s">
        <v>204</v>
      </c>
      <c r="L212" t="s">
        <v>564</v>
      </c>
      <c r="M212" t="s">
        <v>304</v>
      </c>
      <c r="N212">
        <v>484201</v>
      </c>
      <c r="O212" t="s">
        <v>54</v>
      </c>
      <c r="P212" t="s">
        <v>107</v>
      </c>
      <c r="Q212">
        <v>78</v>
      </c>
      <c r="R212" t="s">
        <v>157</v>
      </c>
      <c r="S212" t="s">
        <v>2097</v>
      </c>
      <c r="T212">
        <v>78</v>
      </c>
      <c r="U212" t="s">
        <v>2098</v>
      </c>
      <c r="V212" t="s">
        <v>179</v>
      </c>
      <c r="W212" t="s">
        <v>2099</v>
      </c>
      <c r="X212" t="s">
        <v>2100</v>
      </c>
      <c r="Y212" t="s">
        <v>2101</v>
      </c>
      <c r="Z212" t="s">
        <v>271</v>
      </c>
    </row>
    <row r="213" spans="1:26" x14ac:dyDescent="0.2">
      <c r="A213">
        <v>209</v>
      </c>
      <c r="B213" t="s">
        <v>2102</v>
      </c>
      <c r="C213">
        <v>2019</v>
      </c>
      <c r="D213" t="s">
        <v>2103</v>
      </c>
      <c r="E213" t="s">
        <v>2104</v>
      </c>
      <c r="F213" t="s">
        <v>2105</v>
      </c>
      <c r="G213" t="s">
        <v>30</v>
      </c>
      <c r="H213" t="s">
        <v>2106</v>
      </c>
      <c r="K213" t="s">
        <v>250</v>
      </c>
      <c r="L213" s="1">
        <v>46030</v>
      </c>
      <c r="M213" t="s">
        <v>228</v>
      </c>
      <c r="N213">
        <v>516895</v>
      </c>
      <c r="O213" t="s">
        <v>228</v>
      </c>
      <c r="P213" t="s">
        <v>484</v>
      </c>
      <c r="Q213">
        <v>217</v>
      </c>
      <c r="R213" t="s">
        <v>34</v>
      </c>
      <c r="S213" t="s">
        <v>2107</v>
      </c>
      <c r="T213">
        <v>80</v>
      </c>
      <c r="U213" t="s">
        <v>2108</v>
      </c>
      <c r="V213" t="s">
        <v>41</v>
      </c>
      <c r="W213" t="s">
        <v>253</v>
      </c>
      <c r="X213" t="s">
        <v>2109</v>
      </c>
      <c r="Y213" t="s">
        <v>2110</v>
      </c>
      <c r="Z213" t="s">
        <v>271</v>
      </c>
    </row>
    <row r="214" spans="1:26" x14ac:dyDescent="0.2">
      <c r="A214">
        <v>210</v>
      </c>
      <c r="B214" t="s">
        <v>2111</v>
      </c>
      <c r="C214">
        <v>2017</v>
      </c>
      <c r="D214" t="s">
        <v>593</v>
      </c>
      <c r="E214" t="s">
        <v>2112</v>
      </c>
      <c r="F214" t="s">
        <v>2113</v>
      </c>
      <c r="G214" t="s">
        <v>30</v>
      </c>
      <c r="H214" t="s">
        <v>2114</v>
      </c>
      <c r="K214" t="s">
        <v>271</v>
      </c>
      <c r="L214" s="1">
        <v>46030</v>
      </c>
      <c r="M214" t="s">
        <v>228</v>
      </c>
      <c r="N214">
        <v>579561</v>
      </c>
      <c r="O214" t="s">
        <v>157</v>
      </c>
      <c r="P214" t="s">
        <v>107</v>
      </c>
      <c r="Q214">
        <v>282</v>
      </c>
      <c r="R214" t="s">
        <v>107</v>
      </c>
      <c r="S214" t="s">
        <v>2115</v>
      </c>
      <c r="T214">
        <v>80</v>
      </c>
      <c r="U214" t="s">
        <v>2116</v>
      </c>
      <c r="V214" t="s">
        <v>107</v>
      </c>
      <c r="W214" t="s">
        <v>75</v>
      </c>
      <c r="X214" t="s">
        <v>2117</v>
      </c>
      <c r="Y214" t="s">
        <v>2118</v>
      </c>
      <c r="Z214" t="s">
        <v>271</v>
      </c>
    </row>
    <row r="215" spans="1:26" x14ac:dyDescent="0.2">
      <c r="A215">
        <v>211</v>
      </c>
      <c r="B215" t="s">
        <v>2119</v>
      </c>
      <c r="C215">
        <v>1978</v>
      </c>
      <c r="D215" t="s">
        <v>1731</v>
      </c>
      <c r="E215" t="s">
        <v>2120</v>
      </c>
      <c r="F215" t="s">
        <v>2121</v>
      </c>
      <c r="G215" t="s">
        <v>30</v>
      </c>
      <c r="H215" t="s">
        <v>2122</v>
      </c>
      <c r="I215" t="s">
        <v>2123</v>
      </c>
      <c r="J215" t="s">
        <v>2124</v>
      </c>
      <c r="K215" t="s">
        <v>271</v>
      </c>
      <c r="L215" s="1">
        <v>46210</v>
      </c>
      <c r="M215" t="s">
        <v>1225</v>
      </c>
      <c r="N215">
        <v>321821</v>
      </c>
      <c r="O215" t="s">
        <v>41</v>
      </c>
      <c r="P215" t="s">
        <v>179</v>
      </c>
      <c r="Q215">
        <v>102</v>
      </c>
      <c r="R215" t="s">
        <v>107</v>
      </c>
      <c r="S215" t="s">
        <v>2125</v>
      </c>
      <c r="T215">
        <v>76</v>
      </c>
      <c r="U215" t="s">
        <v>2126</v>
      </c>
      <c r="V215" t="s">
        <v>97</v>
      </c>
      <c r="W215" t="s">
        <v>75</v>
      </c>
      <c r="X215" t="s">
        <v>2127</v>
      </c>
      <c r="Y215" t="s">
        <v>2128</v>
      </c>
      <c r="Z215" t="s">
        <v>271</v>
      </c>
    </row>
    <row r="216" spans="1:26" x14ac:dyDescent="0.2">
      <c r="A216">
        <v>212</v>
      </c>
      <c r="B216" t="s">
        <v>2129</v>
      </c>
      <c r="C216">
        <v>1971</v>
      </c>
      <c r="D216" t="s">
        <v>2130</v>
      </c>
      <c r="E216" t="s">
        <v>199</v>
      </c>
      <c r="F216" t="s">
        <v>2131</v>
      </c>
      <c r="G216" t="s">
        <v>30</v>
      </c>
      <c r="H216" t="s">
        <v>2132</v>
      </c>
      <c r="K216" t="s">
        <v>204</v>
      </c>
      <c r="L216" s="1">
        <v>46061</v>
      </c>
      <c r="M216" t="s">
        <v>250</v>
      </c>
      <c r="N216">
        <v>907799</v>
      </c>
      <c r="O216" t="s">
        <v>1225</v>
      </c>
      <c r="P216" t="s">
        <v>107</v>
      </c>
      <c r="Q216">
        <v>94</v>
      </c>
      <c r="R216" t="s">
        <v>41</v>
      </c>
      <c r="S216" t="s">
        <v>2133</v>
      </c>
      <c r="T216">
        <v>82</v>
      </c>
      <c r="U216" t="s">
        <v>2134</v>
      </c>
      <c r="V216" t="s">
        <v>179</v>
      </c>
      <c r="W216" t="s">
        <v>135</v>
      </c>
      <c r="X216" t="s">
        <v>2135</v>
      </c>
      <c r="Y216" t="s">
        <v>2136</v>
      </c>
      <c r="Z216" t="s">
        <v>2137</v>
      </c>
    </row>
    <row r="217" spans="1:26" x14ac:dyDescent="0.2">
      <c r="A217">
        <v>213</v>
      </c>
      <c r="B217" t="s">
        <v>2138</v>
      </c>
      <c r="C217">
        <v>1967</v>
      </c>
      <c r="D217" t="s">
        <v>2139</v>
      </c>
      <c r="E217" t="s">
        <v>2140</v>
      </c>
      <c r="F217" t="s">
        <v>2141</v>
      </c>
      <c r="G217" t="s">
        <v>30</v>
      </c>
      <c r="H217" t="s">
        <v>2142</v>
      </c>
      <c r="I217" t="s">
        <v>2143</v>
      </c>
      <c r="J217" t="s">
        <v>2144</v>
      </c>
      <c r="K217" t="s">
        <v>271</v>
      </c>
      <c r="L217" t="s">
        <v>564</v>
      </c>
      <c r="M217" t="s">
        <v>304</v>
      </c>
      <c r="N217">
        <v>295545</v>
      </c>
      <c r="O217" t="s">
        <v>204</v>
      </c>
      <c r="P217" t="s">
        <v>157</v>
      </c>
      <c r="Q217">
        <v>76</v>
      </c>
      <c r="R217" t="s">
        <v>54</v>
      </c>
      <c r="S217" t="s">
        <v>2145</v>
      </c>
      <c r="T217">
        <v>82</v>
      </c>
      <c r="U217" t="s">
        <v>2146</v>
      </c>
      <c r="V217" t="s">
        <v>271</v>
      </c>
      <c r="W217" t="s">
        <v>617</v>
      </c>
      <c r="X217" t="s">
        <v>2147</v>
      </c>
      <c r="Y217" t="s">
        <v>2148</v>
      </c>
      <c r="Z217" t="s">
        <v>2137</v>
      </c>
    </row>
    <row r="218" spans="1:26" x14ac:dyDescent="0.2">
      <c r="A218">
        <v>214</v>
      </c>
      <c r="B218" t="s">
        <v>2149</v>
      </c>
      <c r="C218">
        <v>1987</v>
      </c>
      <c r="D218" t="s">
        <v>267</v>
      </c>
      <c r="E218" t="s">
        <v>199</v>
      </c>
      <c r="F218" t="s">
        <v>2150</v>
      </c>
      <c r="G218" t="s">
        <v>30</v>
      </c>
      <c r="H218" t="s">
        <v>2151</v>
      </c>
      <c r="I218" t="s">
        <v>2152</v>
      </c>
      <c r="J218" t="s">
        <v>178</v>
      </c>
      <c r="K218" t="s">
        <v>204</v>
      </c>
      <c r="L218" s="1">
        <v>46061</v>
      </c>
      <c r="M218" t="s">
        <v>250</v>
      </c>
      <c r="N218">
        <v>816985</v>
      </c>
      <c r="O218" t="s">
        <v>757</v>
      </c>
      <c r="P218" t="s">
        <v>250</v>
      </c>
      <c r="Q218">
        <v>70</v>
      </c>
      <c r="R218" t="s">
        <v>41</v>
      </c>
      <c r="S218" t="s">
        <v>2153</v>
      </c>
      <c r="T218">
        <v>84</v>
      </c>
      <c r="U218" t="s">
        <v>2154</v>
      </c>
      <c r="V218" t="s">
        <v>179</v>
      </c>
      <c r="W218" t="s">
        <v>135</v>
      </c>
      <c r="X218" t="s">
        <v>2155</v>
      </c>
      <c r="Y218" t="s">
        <v>2156</v>
      </c>
      <c r="Z218" t="s">
        <v>2137</v>
      </c>
    </row>
    <row r="219" spans="1:26" x14ac:dyDescent="0.2">
      <c r="A219">
        <v>215</v>
      </c>
      <c r="B219" t="s">
        <v>2157</v>
      </c>
      <c r="C219">
        <v>1997</v>
      </c>
      <c r="D219" t="s">
        <v>65</v>
      </c>
      <c r="E219" t="s">
        <v>2158</v>
      </c>
      <c r="F219" t="s">
        <v>2159</v>
      </c>
      <c r="G219" t="s">
        <v>30</v>
      </c>
      <c r="H219" t="s">
        <v>2160</v>
      </c>
      <c r="I219" t="s">
        <v>2161</v>
      </c>
      <c r="J219" t="s">
        <v>118</v>
      </c>
      <c r="K219" t="s">
        <v>204</v>
      </c>
      <c r="L219" s="1">
        <v>46089</v>
      </c>
      <c r="M219" t="s">
        <v>204</v>
      </c>
      <c r="N219">
        <v>1128522</v>
      </c>
      <c r="O219" t="s">
        <v>2162</v>
      </c>
      <c r="P219" t="s">
        <v>484</v>
      </c>
      <c r="Q219">
        <v>70</v>
      </c>
      <c r="R219" t="s">
        <v>74</v>
      </c>
      <c r="S219" t="s">
        <v>2163</v>
      </c>
      <c r="T219">
        <v>86</v>
      </c>
      <c r="U219" t="s">
        <v>2164</v>
      </c>
      <c r="V219" t="s">
        <v>34</v>
      </c>
      <c r="W219" t="s">
        <v>780</v>
      </c>
      <c r="X219" t="s">
        <v>2165</v>
      </c>
      <c r="Y219" t="s">
        <v>2166</v>
      </c>
      <c r="Z219" t="s">
        <v>2137</v>
      </c>
    </row>
    <row r="220" spans="1:26" x14ac:dyDescent="0.2">
      <c r="A220">
        <v>216</v>
      </c>
      <c r="B220" t="s">
        <v>2167</v>
      </c>
      <c r="C220">
        <v>2010</v>
      </c>
      <c r="D220" t="s">
        <v>2168</v>
      </c>
      <c r="E220" t="s">
        <v>1199</v>
      </c>
      <c r="F220" t="s">
        <v>2169</v>
      </c>
      <c r="G220" t="s">
        <v>30</v>
      </c>
      <c r="H220" t="s">
        <v>2170</v>
      </c>
      <c r="I220" t="s">
        <v>2171</v>
      </c>
      <c r="J220" t="s">
        <v>216</v>
      </c>
      <c r="K220" t="s">
        <v>204</v>
      </c>
      <c r="L220" s="1">
        <v>46242</v>
      </c>
      <c r="M220" t="s">
        <v>157</v>
      </c>
      <c r="N220">
        <v>2666368</v>
      </c>
      <c r="O220" t="s">
        <v>1930</v>
      </c>
      <c r="P220" t="s">
        <v>304</v>
      </c>
      <c r="Q220">
        <v>241</v>
      </c>
      <c r="R220" t="s">
        <v>97</v>
      </c>
      <c r="S220" t="s">
        <v>2172</v>
      </c>
      <c r="T220">
        <v>84</v>
      </c>
      <c r="U220" t="s">
        <v>2173</v>
      </c>
      <c r="V220" t="s">
        <v>157</v>
      </c>
      <c r="W220" t="s">
        <v>135</v>
      </c>
      <c r="Y220" t="s">
        <v>2174</v>
      </c>
      <c r="Z220" t="s">
        <v>2137</v>
      </c>
    </row>
    <row r="221" spans="1:26" x14ac:dyDescent="0.2">
      <c r="A221">
        <v>217</v>
      </c>
      <c r="B221" t="s">
        <v>2175</v>
      </c>
      <c r="C221">
        <v>1960</v>
      </c>
      <c r="D221" t="s">
        <v>1276</v>
      </c>
      <c r="E221" t="s">
        <v>2176</v>
      </c>
      <c r="F221" t="s">
        <v>2177</v>
      </c>
      <c r="G221" t="s">
        <v>321</v>
      </c>
      <c r="H221" t="s">
        <v>2178</v>
      </c>
      <c r="J221" t="s">
        <v>70</v>
      </c>
      <c r="K221" t="s">
        <v>204</v>
      </c>
      <c r="L221" s="1">
        <v>46180</v>
      </c>
      <c r="M221" t="s">
        <v>1241</v>
      </c>
      <c r="N221">
        <v>37018</v>
      </c>
      <c r="O221" t="s">
        <v>41</v>
      </c>
      <c r="P221" t="s">
        <v>107</v>
      </c>
      <c r="Q221">
        <v>52</v>
      </c>
      <c r="R221" t="s">
        <v>271</v>
      </c>
      <c r="S221" t="s">
        <v>2179</v>
      </c>
      <c r="T221">
        <v>78</v>
      </c>
      <c r="U221" t="s">
        <v>2180</v>
      </c>
      <c r="V221" t="s">
        <v>41</v>
      </c>
      <c r="W221" t="s">
        <v>135</v>
      </c>
      <c r="X221" t="s">
        <v>2181</v>
      </c>
      <c r="Y221" t="s">
        <v>2182</v>
      </c>
      <c r="Z221" t="s">
        <v>2137</v>
      </c>
    </row>
    <row r="222" spans="1:26" x14ac:dyDescent="0.2">
      <c r="A222">
        <v>218</v>
      </c>
      <c r="B222" t="s">
        <v>2183</v>
      </c>
      <c r="C222">
        <v>1933</v>
      </c>
      <c r="D222" t="s">
        <v>2184</v>
      </c>
      <c r="E222" t="s">
        <v>2185</v>
      </c>
      <c r="F222" t="s">
        <v>2186</v>
      </c>
      <c r="G222" t="s">
        <v>30</v>
      </c>
      <c r="H222" t="s">
        <v>2187</v>
      </c>
      <c r="I222" t="s">
        <v>2188</v>
      </c>
      <c r="J222" t="s">
        <v>2189</v>
      </c>
      <c r="K222" t="s">
        <v>271</v>
      </c>
      <c r="L222" s="1">
        <v>46272</v>
      </c>
      <c r="M222" t="s">
        <v>484</v>
      </c>
      <c r="N222">
        <v>93320</v>
      </c>
      <c r="O222" t="s">
        <v>35</v>
      </c>
      <c r="P222" t="s">
        <v>74</v>
      </c>
      <c r="Q222">
        <v>87</v>
      </c>
      <c r="R222" t="s">
        <v>204</v>
      </c>
      <c r="S222" t="s">
        <v>2190</v>
      </c>
      <c r="T222">
        <v>76</v>
      </c>
      <c r="U222" t="s">
        <v>2191</v>
      </c>
      <c r="V222" t="s">
        <v>250</v>
      </c>
      <c r="W222" t="s">
        <v>135</v>
      </c>
      <c r="X222" t="s">
        <v>2192</v>
      </c>
      <c r="Y222" t="s">
        <v>2193</v>
      </c>
      <c r="Z222" t="s">
        <v>2137</v>
      </c>
    </row>
    <row r="223" spans="1:26" x14ac:dyDescent="0.2">
      <c r="A223">
        <v>219</v>
      </c>
      <c r="B223" t="s">
        <v>2194</v>
      </c>
      <c r="C223">
        <v>2023</v>
      </c>
      <c r="D223" t="s">
        <v>2195</v>
      </c>
      <c r="E223" t="s">
        <v>141</v>
      </c>
      <c r="F223" t="s">
        <v>2196</v>
      </c>
      <c r="G223" t="s">
        <v>50</v>
      </c>
      <c r="H223" t="s">
        <v>2197</v>
      </c>
      <c r="K223" t="s">
        <v>204</v>
      </c>
      <c r="L223" s="1">
        <v>46119</v>
      </c>
      <c r="M223" t="s">
        <v>1930</v>
      </c>
      <c r="N223">
        <v>91799</v>
      </c>
      <c r="O223" t="s">
        <v>74</v>
      </c>
      <c r="P223" t="s">
        <v>179</v>
      </c>
      <c r="Q223">
        <v>151</v>
      </c>
      <c r="S223" t="s">
        <v>2198</v>
      </c>
      <c r="T223">
        <v>78</v>
      </c>
      <c r="U223" t="s">
        <v>2199</v>
      </c>
      <c r="V223" t="s">
        <v>97</v>
      </c>
      <c r="X223" t="s">
        <v>2200</v>
      </c>
      <c r="Y223" t="s">
        <v>2201</v>
      </c>
      <c r="Z223" t="s">
        <v>2202</v>
      </c>
    </row>
    <row r="224" spans="1:26" x14ac:dyDescent="0.2">
      <c r="A224">
        <v>220</v>
      </c>
      <c r="B224" t="s">
        <v>2203</v>
      </c>
      <c r="C224">
        <v>2023</v>
      </c>
      <c r="D224" t="s">
        <v>992</v>
      </c>
      <c r="E224" t="s">
        <v>2204</v>
      </c>
      <c r="F224" t="s">
        <v>2205</v>
      </c>
      <c r="G224" t="s">
        <v>30</v>
      </c>
      <c r="H224" t="s">
        <v>2206</v>
      </c>
      <c r="K224" t="s">
        <v>271</v>
      </c>
      <c r="L224" s="1">
        <v>46272</v>
      </c>
      <c r="M224" t="s">
        <v>484</v>
      </c>
      <c r="N224">
        <v>196289</v>
      </c>
      <c r="O224" t="s">
        <v>250</v>
      </c>
      <c r="P224" t="s">
        <v>107</v>
      </c>
      <c r="Q224">
        <v>204</v>
      </c>
      <c r="S224" t="s">
        <v>2207</v>
      </c>
      <c r="T224">
        <v>84</v>
      </c>
      <c r="U224" t="s">
        <v>2208</v>
      </c>
      <c r="V224" t="s">
        <v>97</v>
      </c>
      <c r="X224" t="s">
        <v>2209</v>
      </c>
      <c r="Y224" t="s">
        <v>2210</v>
      </c>
      <c r="Z224" t="s">
        <v>2202</v>
      </c>
    </row>
    <row r="225" spans="1:26" x14ac:dyDescent="0.2">
      <c r="A225">
        <v>221</v>
      </c>
      <c r="B225" t="s">
        <v>2211</v>
      </c>
      <c r="C225">
        <v>2025</v>
      </c>
      <c r="D225" t="s">
        <v>1731</v>
      </c>
      <c r="E225" t="s">
        <v>2212</v>
      </c>
      <c r="F225" t="s">
        <v>2213</v>
      </c>
      <c r="G225" t="s">
        <v>30</v>
      </c>
      <c r="H225" t="s">
        <v>2214</v>
      </c>
      <c r="K225" t="s">
        <v>271</v>
      </c>
      <c r="L225" s="1">
        <v>46030</v>
      </c>
      <c r="M225" t="s">
        <v>228</v>
      </c>
      <c r="N225">
        <v>92445</v>
      </c>
      <c r="O225" t="s">
        <v>271</v>
      </c>
      <c r="P225" t="s">
        <v>54</v>
      </c>
      <c r="Q225">
        <v>195</v>
      </c>
      <c r="T225">
        <v>84</v>
      </c>
      <c r="U225" t="s">
        <v>2215</v>
      </c>
      <c r="W225" t="s">
        <v>2216</v>
      </c>
      <c r="X225" t="s">
        <v>2217</v>
      </c>
      <c r="Y225" t="s">
        <v>2218</v>
      </c>
      <c r="Z225" t="s">
        <v>2219</v>
      </c>
    </row>
    <row r="226" spans="1:26" x14ac:dyDescent="0.2">
      <c r="A226">
        <v>222</v>
      </c>
      <c r="B226" t="s">
        <v>2220</v>
      </c>
      <c r="C226">
        <v>2011</v>
      </c>
      <c r="D226" t="s">
        <v>2221</v>
      </c>
      <c r="E226" t="s">
        <v>2222</v>
      </c>
      <c r="F226" t="s">
        <v>2223</v>
      </c>
      <c r="G226" t="s">
        <v>30</v>
      </c>
      <c r="H226" t="s">
        <v>2224</v>
      </c>
      <c r="I226" t="s">
        <v>2225</v>
      </c>
      <c r="J226" t="s">
        <v>216</v>
      </c>
      <c r="K226" t="s">
        <v>204</v>
      </c>
      <c r="L226" s="1">
        <v>46030</v>
      </c>
      <c r="M226" t="s">
        <v>228</v>
      </c>
      <c r="N226">
        <v>990703</v>
      </c>
      <c r="O226" t="s">
        <v>107</v>
      </c>
      <c r="P226" t="s">
        <v>271</v>
      </c>
      <c r="Q226">
        <v>187</v>
      </c>
      <c r="R226" t="s">
        <v>179</v>
      </c>
      <c r="S226" t="s">
        <v>2226</v>
      </c>
      <c r="T226">
        <v>80</v>
      </c>
      <c r="U226" t="s">
        <v>2227</v>
      </c>
      <c r="V226" t="s">
        <v>107</v>
      </c>
      <c r="W226" t="s">
        <v>2228</v>
      </c>
      <c r="X226" t="s">
        <v>2229</v>
      </c>
      <c r="Y226" t="s">
        <v>2230</v>
      </c>
      <c r="Z226" t="s">
        <v>2231</v>
      </c>
    </row>
    <row r="227" spans="1:26" x14ac:dyDescent="0.2">
      <c r="A227">
        <v>223</v>
      </c>
      <c r="B227" t="s">
        <v>2232</v>
      </c>
      <c r="C227">
        <v>1997</v>
      </c>
      <c r="D227" t="s">
        <v>65</v>
      </c>
      <c r="E227" t="s">
        <v>342</v>
      </c>
      <c r="F227" t="s">
        <v>2233</v>
      </c>
      <c r="G227" t="s">
        <v>30</v>
      </c>
      <c r="H227" t="s">
        <v>2234</v>
      </c>
      <c r="I227" t="s">
        <v>2235</v>
      </c>
      <c r="J227" t="s">
        <v>353</v>
      </c>
      <c r="K227" t="s">
        <v>204</v>
      </c>
      <c r="L227" s="1">
        <v>46272</v>
      </c>
      <c r="M227" t="s">
        <v>484</v>
      </c>
      <c r="N227">
        <v>290090</v>
      </c>
      <c r="O227" t="s">
        <v>54</v>
      </c>
      <c r="P227" t="s">
        <v>250</v>
      </c>
      <c r="Q227">
        <v>62</v>
      </c>
      <c r="R227" t="s">
        <v>107</v>
      </c>
      <c r="S227" t="s">
        <v>2236</v>
      </c>
      <c r="T227">
        <v>84</v>
      </c>
      <c r="U227" t="s">
        <v>2237</v>
      </c>
      <c r="V227" t="s">
        <v>54</v>
      </c>
      <c r="W227" t="s">
        <v>325</v>
      </c>
      <c r="X227" t="s">
        <v>2238</v>
      </c>
      <c r="Y227" t="s">
        <v>2239</v>
      </c>
      <c r="Z227" t="s">
        <v>2231</v>
      </c>
    </row>
    <row r="228" spans="1:26" x14ac:dyDescent="0.2">
      <c r="A228">
        <v>224</v>
      </c>
      <c r="B228" t="s">
        <v>2240</v>
      </c>
      <c r="C228">
        <v>2008</v>
      </c>
      <c r="D228" t="s">
        <v>2241</v>
      </c>
      <c r="E228" t="s">
        <v>2242</v>
      </c>
      <c r="F228" t="s">
        <v>2243</v>
      </c>
      <c r="G228" t="s">
        <v>30</v>
      </c>
      <c r="H228" t="s">
        <v>2244</v>
      </c>
      <c r="I228" t="s">
        <v>2245</v>
      </c>
      <c r="J228" t="s">
        <v>2246</v>
      </c>
      <c r="K228" t="s">
        <v>271</v>
      </c>
      <c r="L228" s="1">
        <v>46149</v>
      </c>
      <c r="M228" t="s">
        <v>1270</v>
      </c>
      <c r="N228">
        <v>483381</v>
      </c>
      <c r="O228" t="s">
        <v>38</v>
      </c>
      <c r="P228" t="s">
        <v>157</v>
      </c>
      <c r="Q228">
        <v>198</v>
      </c>
      <c r="R228" t="s">
        <v>228</v>
      </c>
      <c r="S228" t="s">
        <v>2247</v>
      </c>
      <c r="T228">
        <v>76</v>
      </c>
      <c r="U228" t="s">
        <v>2248</v>
      </c>
      <c r="V228" t="s">
        <v>179</v>
      </c>
      <c r="W228" t="s">
        <v>253</v>
      </c>
      <c r="X228" t="s">
        <v>2249</v>
      </c>
      <c r="Y228" t="s">
        <v>2250</v>
      </c>
      <c r="Z228" t="s">
        <v>2231</v>
      </c>
    </row>
    <row r="229" spans="1:26" x14ac:dyDescent="0.2">
      <c r="A229">
        <v>225</v>
      </c>
      <c r="B229" t="s">
        <v>2251</v>
      </c>
      <c r="C229">
        <v>1989</v>
      </c>
      <c r="D229" t="s">
        <v>65</v>
      </c>
      <c r="E229" t="s">
        <v>993</v>
      </c>
      <c r="F229" t="s">
        <v>2252</v>
      </c>
      <c r="G229" t="s">
        <v>30</v>
      </c>
      <c r="H229" t="s">
        <v>2253</v>
      </c>
      <c r="I229" t="s">
        <v>2254</v>
      </c>
      <c r="J229" t="s">
        <v>1668</v>
      </c>
      <c r="K229" t="s">
        <v>250</v>
      </c>
      <c r="L229" s="1">
        <v>46030</v>
      </c>
      <c r="M229" t="s">
        <v>228</v>
      </c>
      <c r="N229">
        <v>585470</v>
      </c>
      <c r="O229" t="s">
        <v>484</v>
      </c>
      <c r="P229" t="s">
        <v>1930</v>
      </c>
      <c r="Q229">
        <v>51</v>
      </c>
      <c r="R229" t="s">
        <v>97</v>
      </c>
      <c r="S229" t="s">
        <v>2255</v>
      </c>
      <c r="T229">
        <v>86</v>
      </c>
      <c r="U229" t="s">
        <v>2256</v>
      </c>
      <c r="V229" t="s">
        <v>34</v>
      </c>
      <c r="W229" t="s">
        <v>75</v>
      </c>
      <c r="X229" t="s">
        <v>2257</v>
      </c>
      <c r="Y229" t="s">
        <v>2258</v>
      </c>
      <c r="Z229" t="s">
        <v>2231</v>
      </c>
    </row>
    <row r="230" spans="1:26" x14ac:dyDescent="0.2">
      <c r="A230">
        <v>226</v>
      </c>
      <c r="B230" t="s">
        <v>2259</v>
      </c>
      <c r="C230">
        <v>1993</v>
      </c>
      <c r="D230" t="s">
        <v>804</v>
      </c>
      <c r="E230" t="s">
        <v>2260</v>
      </c>
      <c r="F230" t="s">
        <v>2261</v>
      </c>
      <c r="G230" t="s">
        <v>30</v>
      </c>
      <c r="H230" t="s">
        <v>2262</v>
      </c>
      <c r="I230" t="s">
        <v>2263</v>
      </c>
      <c r="J230" t="s">
        <v>2264</v>
      </c>
      <c r="K230" t="s">
        <v>204</v>
      </c>
      <c r="L230" s="1">
        <v>46272</v>
      </c>
      <c r="M230" t="s">
        <v>484</v>
      </c>
      <c r="N230">
        <v>393679</v>
      </c>
      <c r="O230" t="s">
        <v>250</v>
      </c>
      <c r="P230" t="s">
        <v>271</v>
      </c>
      <c r="Q230">
        <v>91</v>
      </c>
      <c r="R230" t="s">
        <v>179</v>
      </c>
      <c r="S230" t="s">
        <v>2265</v>
      </c>
      <c r="T230">
        <v>80</v>
      </c>
      <c r="U230" t="s">
        <v>2266</v>
      </c>
      <c r="V230" t="s">
        <v>41</v>
      </c>
      <c r="W230" t="s">
        <v>444</v>
      </c>
      <c r="X230" t="s">
        <v>2267</v>
      </c>
      <c r="Y230" t="s">
        <v>2268</v>
      </c>
      <c r="Z230" t="s">
        <v>2231</v>
      </c>
    </row>
    <row r="231" spans="1:26" x14ac:dyDescent="0.2">
      <c r="A231">
        <v>227</v>
      </c>
      <c r="B231" t="s">
        <v>2269</v>
      </c>
      <c r="C231">
        <v>2019</v>
      </c>
      <c r="D231" t="s">
        <v>2270</v>
      </c>
      <c r="E231" t="s">
        <v>2271</v>
      </c>
      <c r="F231" t="s">
        <v>2272</v>
      </c>
      <c r="G231" t="s">
        <v>30</v>
      </c>
      <c r="H231" t="s">
        <v>2273</v>
      </c>
      <c r="K231" t="s">
        <v>204</v>
      </c>
      <c r="L231" s="1">
        <v>46120</v>
      </c>
      <c r="M231" t="s">
        <v>271</v>
      </c>
      <c r="N231">
        <v>1344334</v>
      </c>
      <c r="O231" t="s">
        <v>757</v>
      </c>
      <c r="P231" t="s">
        <v>228</v>
      </c>
      <c r="Q231">
        <v>317</v>
      </c>
      <c r="R231" t="s">
        <v>157</v>
      </c>
      <c r="S231" t="s">
        <v>2274</v>
      </c>
      <c r="T231">
        <v>78</v>
      </c>
      <c r="U231" t="s">
        <v>2275</v>
      </c>
      <c r="V231" t="s">
        <v>34</v>
      </c>
      <c r="W231" t="s">
        <v>444</v>
      </c>
      <c r="X231" t="s">
        <v>2276</v>
      </c>
      <c r="Y231" t="s">
        <v>2277</v>
      </c>
      <c r="Z231" t="s">
        <v>2231</v>
      </c>
    </row>
    <row r="232" spans="1:26" x14ac:dyDescent="0.2">
      <c r="A232">
        <v>228</v>
      </c>
      <c r="B232" t="s">
        <v>2278</v>
      </c>
      <c r="C232">
        <v>2022</v>
      </c>
      <c r="D232" t="s">
        <v>2279</v>
      </c>
      <c r="E232" t="s">
        <v>2280</v>
      </c>
      <c r="F232" t="s">
        <v>2281</v>
      </c>
      <c r="G232" t="s">
        <v>2282</v>
      </c>
      <c r="H232" t="s">
        <v>2283</v>
      </c>
      <c r="K232" t="s">
        <v>271</v>
      </c>
      <c r="L232" s="1">
        <v>46241</v>
      </c>
      <c r="M232" t="s">
        <v>757</v>
      </c>
      <c r="N232">
        <v>177734</v>
      </c>
      <c r="O232" t="s">
        <v>204</v>
      </c>
      <c r="P232" t="s">
        <v>204</v>
      </c>
      <c r="Q232">
        <v>67</v>
      </c>
      <c r="S232" t="s">
        <v>2284</v>
      </c>
      <c r="T232">
        <v>84</v>
      </c>
      <c r="U232" t="s">
        <v>2285</v>
      </c>
      <c r="V232" t="s">
        <v>41</v>
      </c>
      <c r="W232" t="s">
        <v>885</v>
      </c>
      <c r="X232" t="s">
        <v>2286</v>
      </c>
      <c r="Y232" t="s">
        <v>2287</v>
      </c>
      <c r="Z232" t="s">
        <v>2288</v>
      </c>
    </row>
    <row r="233" spans="1:26" x14ac:dyDescent="0.2">
      <c r="A233">
        <v>229</v>
      </c>
      <c r="B233" t="s">
        <v>2289</v>
      </c>
      <c r="C233">
        <v>2021</v>
      </c>
      <c r="D233" t="s">
        <v>65</v>
      </c>
      <c r="E233" t="s">
        <v>2290</v>
      </c>
      <c r="F233" t="s">
        <v>2291</v>
      </c>
      <c r="G233" t="s">
        <v>50</v>
      </c>
      <c r="H233" t="s">
        <v>2292</v>
      </c>
      <c r="K233" t="s">
        <v>204</v>
      </c>
      <c r="L233" s="1">
        <v>46149</v>
      </c>
      <c r="M233" t="s">
        <v>1270</v>
      </c>
      <c r="N233">
        <v>72039</v>
      </c>
      <c r="O233" t="s">
        <v>74</v>
      </c>
      <c r="P233" t="s">
        <v>157</v>
      </c>
      <c r="Q233">
        <v>139</v>
      </c>
      <c r="S233" t="s">
        <v>2293</v>
      </c>
      <c r="T233">
        <v>84</v>
      </c>
      <c r="U233" t="s">
        <v>2294</v>
      </c>
      <c r="V233" t="s">
        <v>304</v>
      </c>
      <c r="Y233" t="s">
        <v>2295</v>
      </c>
      <c r="Z233" t="s">
        <v>2288</v>
      </c>
    </row>
    <row r="234" spans="1:26" x14ac:dyDescent="0.2">
      <c r="A234">
        <v>230</v>
      </c>
      <c r="B234" t="s">
        <v>2296</v>
      </c>
      <c r="C234">
        <v>2006</v>
      </c>
      <c r="D234" t="s">
        <v>2297</v>
      </c>
      <c r="E234" t="s">
        <v>2298</v>
      </c>
      <c r="F234" t="s">
        <v>2299</v>
      </c>
      <c r="G234" t="s">
        <v>30</v>
      </c>
      <c r="H234" t="s">
        <v>2300</v>
      </c>
      <c r="I234" t="s">
        <v>2301</v>
      </c>
      <c r="J234" t="s">
        <v>85</v>
      </c>
      <c r="K234" t="s">
        <v>271</v>
      </c>
      <c r="L234" s="1">
        <v>46272</v>
      </c>
      <c r="M234" t="s">
        <v>484</v>
      </c>
      <c r="N234">
        <v>545472</v>
      </c>
      <c r="O234" t="s">
        <v>271</v>
      </c>
      <c r="P234" t="s">
        <v>250</v>
      </c>
      <c r="Q234">
        <v>160</v>
      </c>
      <c r="R234" t="s">
        <v>250</v>
      </c>
      <c r="S234" t="s">
        <v>2302</v>
      </c>
      <c r="T234">
        <v>86</v>
      </c>
      <c r="U234" t="s">
        <v>2303</v>
      </c>
      <c r="V234" t="s">
        <v>157</v>
      </c>
      <c r="W234" t="s">
        <v>253</v>
      </c>
      <c r="X234" t="s">
        <v>2304</v>
      </c>
      <c r="Y234" t="s">
        <v>2305</v>
      </c>
      <c r="Z234" t="s">
        <v>2306</v>
      </c>
    </row>
    <row r="235" spans="1:26" x14ac:dyDescent="0.2">
      <c r="A235">
        <v>231</v>
      </c>
      <c r="B235" t="s">
        <v>2307</v>
      </c>
      <c r="C235">
        <v>2001</v>
      </c>
      <c r="D235" t="s">
        <v>211</v>
      </c>
      <c r="E235" t="s">
        <v>2298</v>
      </c>
      <c r="F235" t="s">
        <v>2308</v>
      </c>
      <c r="G235" t="s">
        <v>492</v>
      </c>
      <c r="H235" t="s">
        <v>2309</v>
      </c>
      <c r="I235" t="s">
        <v>2310</v>
      </c>
      <c r="J235" t="s">
        <v>1260</v>
      </c>
      <c r="K235" t="s">
        <v>204</v>
      </c>
      <c r="L235" s="1">
        <v>46210</v>
      </c>
      <c r="M235" t="s">
        <v>1225</v>
      </c>
      <c r="N235">
        <v>133724</v>
      </c>
      <c r="O235" t="s">
        <v>97</v>
      </c>
      <c r="P235" t="s">
        <v>204</v>
      </c>
      <c r="Q235">
        <v>106</v>
      </c>
      <c r="R235" t="s">
        <v>271</v>
      </c>
      <c r="S235" t="s">
        <v>2311</v>
      </c>
      <c r="T235">
        <v>84</v>
      </c>
      <c r="U235" t="s">
        <v>2312</v>
      </c>
      <c r="V235" t="s">
        <v>271</v>
      </c>
      <c r="W235" t="s">
        <v>916</v>
      </c>
      <c r="X235" t="s">
        <v>2313</v>
      </c>
      <c r="Y235" t="s">
        <v>2314</v>
      </c>
      <c r="Z235" t="s">
        <v>2306</v>
      </c>
    </row>
    <row r="236" spans="1:26" x14ac:dyDescent="0.2">
      <c r="A236">
        <v>232</v>
      </c>
      <c r="B236" t="s">
        <v>2315</v>
      </c>
      <c r="C236">
        <v>1977</v>
      </c>
      <c r="D236" t="s">
        <v>2316</v>
      </c>
      <c r="E236" t="s">
        <v>81</v>
      </c>
      <c r="F236" t="s">
        <v>2317</v>
      </c>
      <c r="G236" t="s">
        <v>30</v>
      </c>
      <c r="H236" t="s">
        <v>2318</v>
      </c>
      <c r="I236" t="s">
        <v>2319</v>
      </c>
      <c r="J236" t="s">
        <v>2320</v>
      </c>
      <c r="K236" t="s">
        <v>271</v>
      </c>
      <c r="L236" s="1">
        <v>46180</v>
      </c>
      <c r="M236" t="s">
        <v>1241</v>
      </c>
      <c r="N236">
        <v>224473</v>
      </c>
      <c r="O236" t="s">
        <v>41</v>
      </c>
      <c r="P236" t="s">
        <v>41</v>
      </c>
      <c r="Q236">
        <v>95</v>
      </c>
      <c r="R236" t="s">
        <v>250</v>
      </c>
      <c r="S236" t="s">
        <v>2321</v>
      </c>
      <c r="T236">
        <v>76</v>
      </c>
      <c r="U236" t="s">
        <v>2322</v>
      </c>
      <c r="V236" t="s">
        <v>179</v>
      </c>
      <c r="W236" t="s">
        <v>75</v>
      </c>
      <c r="X236" t="s">
        <v>2323</v>
      </c>
      <c r="Y236" t="s">
        <v>2324</v>
      </c>
      <c r="Z236" t="s">
        <v>2306</v>
      </c>
    </row>
    <row r="237" spans="1:26" x14ac:dyDescent="0.2">
      <c r="A237">
        <v>233</v>
      </c>
      <c r="B237" t="s">
        <v>2325</v>
      </c>
      <c r="C237">
        <v>1995</v>
      </c>
      <c r="D237" t="s">
        <v>1011</v>
      </c>
      <c r="E237" t="s">
        <v>2326</v>
      </c>
      <c r="F237" t="s">
        <v>2327</v>
      </c>
      <c r="G237" t="s">
        <v>30</v>
      </c>
      <c r="H237" t="s">
        <v>2328</v>
      </c>
      <c r="I237" t="s">
        <v>2329</v>
      </c>
      <c r="J237" t="s">
        <v>2330</v>
      </c>
      <c r="K237" t="s">
        <v>250</v>
      </c>
      <c r="L237" s="1">
        <v>46150</v>
      </c>
      <c r="M237" t="s">
        <v>107</v>
      </c>
      <c r="N237">
        <v>1183910</v>
      </c>
      <c r="O237" t="s">
        <v>1241</v>
      </c>
      <c r="P237" t="s">
        <v>757</v>
      </c>
      <c r="Q237">
        <v>62</v>
      </c>
      <c r="R237" t="s">
        <v>35</v>
      </c>
      <c r="S237" t="s">
        <v>2331</v>
      </c>
      <c r="T237">
        <v>82</v>
      </c>
      <c r="U237" t="s">
        <v>2332</v>
      </c>
      <c r="V237" t="s">
        <v>157</v>
      </c>
      <c r="W237" t="s">
        <v>325</v>
      </c>
      <c r="X237" t="s">
        <v>2333</v>
      </c>
      <c r="Y237" t="s">
        <v>2334</v>
      </c>
      <c r="Z237" t="s">
        <v>2306</v>
      </c>
    </row>
    <row r="238" spans="1:26" x14ac:dyDescent="0.2">
      <c r="A238">
        <v>234</v>
      </c>
      <c r="B238" t="s">
        <v>2335</v>
      </c>
      <c r="C238">
        <v>2012</v>
      </c>
      <c r="D238" t="s">
        <v>65</v>
      </c>
      <c r="E238" t="s">
        <v>2336</v>
      </c>
      <c r="F238" t="s">
        <v>2337</v>
      </c>
      <c r="G238" t="s">
        <v>2338</v>
      </c>
      <c r="H238" t="s">
        <v>2339</v>
      </c>
      <c r="I238" t="s">
        <v>2340</v>
      </c>
      <c r="J238" t="s">
        <v>2341</v>
      </c>
      <c r="K238" t="s">
        <v>250</v>
      </c>
      <c r="L238" s="1">
        <v>46089</v>
      </c>
      <c r="M238" t="s">
        <v>204</v>
      </c>
      <c r="N238">
        <v>385419</v>
      </c>
      <c r="O238" t="s">
        <v>1225</v>
      </c>
      <c r="P238" t="s">
        <v>1241</v>
      </c>
      <c r="Q238">
        <v>64</v>
      </c>
      <c r="R238" t="s">
        <v>41</v>
      </c>
      <c r="S238" t="s">
        <v>2342</v>
      </c>
      <c r="T238">
        <v>86</v>
      </c>
      <c r="U238" t="s">
        <v>2343</v>
      </c>
      <c r="V238" t="s">
        <v>97</v>
      </c>
      <c r="W238" t="s">
        <v>75</v>
      </c>
      <c r="X238" t="s">
        <v>2344</v>
      </c>
      <c r="Y238" t="s">
        <v>2345</v>
      </c>
      <c r="Z238" t="s">
        <v>2306</v>
      </c>
    </row>
    <row r="239" spans="1:26" x14ac:dyDescent="0.2">
      <c r="A239">
        <v>235</v>
      </c>
      <c r="B239" t="s">
        <v>2346</v>
      </c>
      <c r="C239">
        <v>1940</v>
      </c>
      <c r="D239" t="s">
        <v>140</v>
      </c>
      <c r="E239" t="s">
        <v>2347</v>
      </c>
      <c r="F239" t="s">
        <v>2348</v>
      </c>
      <c r="G239" t="s">
        <v>30</v>
      </c>
      <c r="H239" t="s">
        <v>2349</v>
      </c>
      <c r="I239" t="s">
        <v>686</v>
      </c>
      <c r="J239" t="s">
        <v>2350</v>
      </c>
      <c r="K239" t="s">
        <v>271</v>
      </c>
      <c r="L239" s="1">
        <v>46210</v>
      </c>
      <c r="M239" t="s">
        <v>1225</v>
      </c>
      <c r="N239">
        <v>107375</v>
      </c>
      <c r="O239" t="s">
        <v>37</v>
      </c>
      <c r="P239" t="s">
        <v>97</v>
      </c>
      <c r="Q239">
        <v>51</v>
      </c>
      <c r="R239" t="s">
        <v>304</v>
      </c>
      <c r="S239" t="s">
        <v>2351</v>
      </c>
      <c r="T239">
        <v>78</v>
      </c>
      <c r="U239" t="s">
        <v>2352</v>
      </c>
      <c r="V239" t="s">
        <v>228</v>
      </c>
      <c r="W239" t="s">
        <v>2353</v>
      </c>
      <c r="X239" t="s">
        <v>2354</v>
      </c>
      <c r="Y239" t="s">
        <v>2355</v>
      </c>
      <c r="Z239" t="s">
        <v>2306</v>
      </c>
    </row>
    <row r="240" spans="1:26" x14ac:dyDescent="0.2">
      <c r="A240">
        <v>236</v>
      </c>
      <c r="B240" t="s">
        <v>2356</v>
      </c>
      <c r="C240">
        <v>2004</v>
      </c>
      <c r="D240" t="s">
        <v>1674</v>
      </c>
      <c r="E240" t="s">
        <v>114</v>
      </c>
      <c r="F240" t="s">
        <v>2357</v>
      </c>
      <c r="G240" t="s">
        <v>30</v>
      </c>
      <c r="H240" t="s">
        <v>2358</v>
      </c>
      <c r="I240" t="s">
        <v>2359</v>
      </c>
      <c r="J240" t="s">
        <v>118</v>
      </c>
      <c r="K240" t="s">
        <v>204</v>
      </c>
      <c r="L240" t="s">
        <v>564</v>
      </c>
      <c r="M240" t="s">
        <v>304</v>
      </c>
      <c r="N240">
        <v>833912</v>
      </c>
      <c r="O240" t="s">
        <v>204</v>
      </c>
      <c r="P240" t="s">
        <v>484</v>
      </c>
      <c r="Q240">
        <v>163</v>
      </c>
      <c r="R240" t="s">
        <v>54</v>
      </c>
      <c r="S240" t="s">
        <v>2360</v>
      </c>
      <c r="T240">
        <v>82</v>
      </c>
      <c r="U240" t="s">
        <v>2361</v>
      </c>
      <c r="V240" t="s">
        <v>74</v>
      </c>
      <c r="W240" t="s">
        <v>75</v>
      </c>
      <c r="X240" t="s">
        <v>2362</v>
      </c>
      <c r="Y240" t="s">
        <v>2363</v>
      </c>
      <c r="Z240" t="s">
        <v>2306</v>
      </c>
    </row>
    <row r="241" spans="1:26" x14ac:dyDescent="0.2">
      <c r="A241">
        <v>237</v>
      </c>
      <c r="B241" t="s">
        <v>2364</v>
      </c>
      <c r="C241">
        <v>1985</v>
      </c>
      <c r="D241" t="s">
        <v>2365</v>
      </c>
      <c r="E241" t="s">
        <v>2366</v>
      </c>
      <c r="F241" t="s">
        <v>2367</v>
      </c>
      <c r="G241" t="s">
        <v>30</v>
      </c>
      <c r="H241" t="s">
        <v>2368</v>
      </c>
      <c r="I241" t="s">
        <v>461</v>
      </c>
      <c r="J241" t="s">
        <v>85</v>
      </c>
      <c r="K241" t="s">
        <v>204</v>
      </c>
      <c r="L241" s="1">
        <v>46241</v>
      </c>
      <c r="M241" t="s">
        <v>757</v>
      </c>
      <c r="N241">
        <v>215804</v>
      </c>
      <c r="O241" t="s">
        <v>271</v>
      </c>
      <c r="P241" t="s">
        <v>179</v>
      </c>
      <c r="Q241">
        <v>75</v>
      </c>
      <c r="R241" t="s">
        <v>54</v>
      </c>
      <c r="S241" t="s">
        <v>2369</v>
      </c>
      <c r="T241">
        <v>82</v>
      </c>
      <c r="U241" t="s">
        <v>2370</v>
      </c>
      <c r="V241" t="s">
        <v>271</v>
      </c>
      <c r="W241" t="s">
        <v>75</v>
      </c>
      <c r="X241" t="s">
        <v>2371</v>
      </c>
      <c r="Y241" t="s">
        <v>2372</v>
      </c>
      <c r="Z241" t="s">
        <v>2306</v>
      </c>
    </row>
    <row r="242" spans="1:26" x14ac:dyDescent="0.2">
      <c r="A242">
        <v>238</v>
      </c>
      <c r="B242" t="s">
        <v>2373</v>
      </c>
      <c r="C242">
        <v>2017</v>
      </c>
      <c r="D242" t="s">
        <v>2374</v>
      </c>
      <c r="E242" t="s">
        <v>2375</v>
      </c>
      <c r="F242" t="s">
        <v>2376</v>
      </c>
      <c r="G242" t="s">
        <v>50</v>
      </c>
      <c r="H242" t="s">
        <v>2377</v>
      </c>
      <c r="K242" t="s">
        <v>204</v>
      </c>
      <c r="L242" s="1">
        <v>46180</v>
      </c>
      <c r="M242" t="s">
        <v>1241</v>
      </c>
      <c r="N242">
        <v>32571</v>
      </c>
      <c r="O242" t="s">
        <v>54</v>
      </c>
      <c r="P242" t="s">
        <v>54</v>
      </c>
      <c r="Q242">
        <v>74</v>
      </c>
      <c r="R242" t="s">
        <v>271</v>
      </c>
      <c r="S242" t="s">
        <v>2378</v>
      </c>
      <c r="T242">
        <v>82</v>
      </c>
      <c r="U242" t="s">
        <v>2379</v>
      </c>
      <c r="V242" t="s">
        <v>179</v>
      </c>
      <c r="W242" t="s">
        <v>75</v>
      </c>
      <c r="X242" t="s">
        <v>2380</v>
      </c>
      <c r="Y242" t="s">
        <v>2381</v>
      </c>
      <c r="Z242" t="s">
        <v>2306</v>
      </c>
    </row>
    <row r="243" spans="1:26" x14ac:dyDescent="0.2">
      <c r="A243">
        <v>239</v>
      </c>
      <c r="B243" t="s">
        <v>2382</v>
      </c>
      <c r="C243">
        <v>2023</v>
      </c>
      <c r="D243" t="s">
        <v>2072</v>
      </c>
      <c r="E243" t="s">
        <v>1012</v>
      </c>
      <c r="F243" t="s">
        <v>2383</v>
      </c>
      <c r="G243" t="s">
        <v>50</v>
      </c>
      <c r="H243" t="s">
        <v>2384</v>
      </c>
      <c r="K243" t="s">
        <v>271</v>
      </c>
      <c r="L243" s="1">
        <v>46241</v>
      </c>
      <c r="M243" t="s">
        <v>757</v>
      </c>
      <c r="N243">
        <v>34095</v>
      </c>
      <c r="O243" t="s">
        <v>484</v>
      </c>
      <c r="P243" t="s">
        <v>228</v>
      </c>
      <c r="Q243">
        <v>100</v>
      </c>
      <c r="S243" t="s">
        <v>2385</v>
      </c>
      <c r="T243">
        <v>86</v>
      </c>
      <c r="U243" t="s">
        <v>2386</v>
      </c>
      <c r="V243" t="s">
        <v>34</v>
      </c>
      <c r="W243" t="s">
        <v>2387</v>
      </c>
      <c r="X243" t="s">
        <v>2388</v>
      </c>
      <c r="Y243" t="s">
        <v>2389</v>
      </c>
      <c r="Z243" t="s">
        <v>2390</v>
      </c>
    </row>
    <row r="244" spans="1:26" x14ac:dyDescent="0.2">
      <c r="A244">
        <v>240</v>
      </c>
      <c r="B244" t="s">
        <v>2391</v>
      </c>
      <c r="C244">
        <v>2023</v>
      </c>
      <c r="D244" t="s">
        <v>65</v>
      </c>
      <c r="E244" t="s">
        <v>2392</v>
      </c>
      <c r="F244" t="s">
        <v>2393</v>
      </c>
      <c r="G244" t="s">
        <v>50</v>
      </c>
      <c r="H244" t="s">
        <v>2394</v>
      </c>
      <c r="K244" t="s">
        <v>271</v>
      </c>
      <c r="L244" s="1">
        <v>46272</v>
      </c>
      <c r="M244" t="s">
        <v>484</v>
      </c>
      <c r="N244">
        <v>79707</v>
      </c>
      <c r="O244" t="s">
        <v>304</v>
      </c>
      <c r="P244" t="s">
        <v>250</v>
      </c>
      <c r="Q244">
        <v>115</v>
      </c>
      <c r="S244" t="s">
        <v>2395</v>
      </c>
      <c r="T244">
        <v>86</v>
      </c>
      <c r="U244" t="s">
        <v>2396</v>
      </c>
      <c r="V244" t="s">
        <v>41</v>
      </c>
      <c r="W244" t="s">
        <v>2397</v>
      </c>
      <c r="X244" t="s">
        <v>2398</v>
      </c>
      <c r="Y244" t="s">
        <v>2399</v>
      </c>
      <c r="Z244" t="s">
        <v>2390</v>
      </c>
    </row>
    <row r="245" spans="1:26" x14ac:dyDescent="0.2">
      <c r="A245">
        <v>241</v>
      </c>
      <c r="B245" t="s">
        <v>2400</v>
      </c>
      <c r="C245">
        <v>2023</v>
      </c>
      <c r="D245" t="s">
        <v>2401</v>
      </c>
      <c r="E245" t="s">
        <v>2402</v>
      </c>
      <c r="F245" t="s">
        <v>2403</v>
      </c>
      <c r="G245" t="s">
        <v>492</v>
      </c>
      <c r="H245" t="s">
        <v>2404</v>
      </c>
      <c r="K245" t="s">
        <v>204</v>
      </c>
      <c r="L245" s="1">
        <v>46180</v>
      </c>
      <c r="M245" t="s">
        <v>1241</v>
      </c>
      <c r="N245">
        <v>20523</v>
      </c>
      <c r="O245" t="s">
        <v>179</v>
      </c>
      <c r="P245" t="s">
        <v>107</v>
      </c>
      <c r="Q245">
        <v>89</v>
      </c>
      <c r="S245" t="s">
        <v>2405</v>
      </c>
      <c r="T245">
        <v>82</v>
      </c>
      <c r="U245" t="s">
        <v>2406</v>
      </c>
      <c r="V245" t="s">
        <v>179</v>
      </c>
      <c r="X245" t="s">
        <v>2407</v>
      </c>
      <c r="Y245" t="s">
        <v>2408</v>
      </c>
      <c r="Z245" t="s">
        <v>2390</v>
      </c>
    </row>
    <row r="246" spans="1:26" x14ac:dyDescent="0.2">
      <c r="A246">
        <v>242</v>
      </c>
      <c r="B246" t="s">
        <v>2409</v>
      </c>
      <c r="C246">
        <v>2004</v>
      </c>
      <c r="D246" t="s">
        <v>2410</v>
      </c>
      <c r="E246" t="s">
        <v>743</v>
      </c>
      <c r="F246" t="s">
        <v>2411</v>
      </c>
      <c r="G246" t="s">
        <v>30</v>
      </c>
      <c r="H246" t="s">
        <v>2412</v>
      </c>
      <c r="K246" t="s">
        <v>107</v>
      </c>
      <c r="L246" t="s">
        <v>564</v>
      </c>
      <c r="M246" t="s">
        <v>304</v>
      </c>
      <c r="N246">
        <v>849428</v>
      </c>
      <c r="O246" t="s">
        <v>41</v>
      </c>
      <c r="P246" t="s">
        <v>54</v>
      </c>
      <c r="Q246">
        <v>150</v>
      </c>
      <c r="R246" t="s">
        <v>1270</v>
      </c>
      <c r="S246" t="s">
        <v>2413</v>
      </c>
      <c r="T246">
        <v>82</v>
      </c>
      <c r="U246" t="s">
        <v>2414</v>
      </c>
      <c r="V246" t="s">
        <v>179</v>
      </c>
      <c r="W246" t="s">
        <v>444</v>
      </c>
      <c r="X246" t="s">
        <v>2415</v>
      </c>
      <c r="Y246" t="s">
        <v>2416</v>
      </c>
      <c r="Z246" t="s">
        <v>2417</v>
      </c>
    </row>
    <row r="247" spans="1:26" x14ac:dyDescent="0.2">
      <c r="A247">
        <v>243</v>
      </c>
      <c r="B247" t="s">
        <v>2418</v>
      </c>
      <c r="C247">
        <v>1986</v>
      </c>
      <c r="D247" t="s">
        <v>593</v>
      </c>
      <c r="E247" t="s">
        <v>2419</v>
      </c>
      <c r="F247" t="s">
        <v>2420</v>
      </c>
      <c r="G247" t="s">
        <v>30</v>
      </c>
      <c r="H247" t="s">
        <v>2421</v>
      </c>
      <c r="I247" t="s">
        <v>2422</v>
      </c>
      <c r="J247" t="s">
        <v>2423</v>
      </c>
      <c r="K247" t="s">
        <v>250</v>
      </c>
      <c r="L247" s="1">
        <v>46030</v>
      </c>
      <c r="M247" t="s">
        <v>228</v>
      </c>
      <c r="N247">
        <v>461130</v>
      </c>
      <c r="O247" t="s">
        <v>1270</v>
      </c>
      <c r="P247" t="s">
        <v>484</v>
      </c>
      <c r="Q247">
        <v>55</v>
      </c>
      <c r="R247" t="s">
        <v>41</v>
      </c>
      <c r="S247" t="s">
        <v>2424</v>
      </c>
      <c r="T247">
        <v>84</v>
      </c>
      <c r="U247" t="s">
        <v>2425</v>
      </c>
      <c r="V247" t="s">
        <v>74</v>
      </c>
      <c r="W247" t="s">
        <v>2426</v>
      </c>
      <c r="Y247" t="s">
        <v>2427</v>
      </c>
      <c r="Z247" t="s">
        <v>2417</v>
      </c>
    </row>
    <row r="248" spans="1:26" x14ac:dyDescent="0.2">
      <c r="A248">
        <v>244</v>
      </c>
      <c r="B248" t="s">
        <v>2428</v>
      </c>
      <c r="C248">
        <v>1964</v>
      </c>
      <c r="D248" t="s">
        <v>2429</v>
      </c>
      <c r="E248" t="s">
        <v>2430</v>
      </c>
      <c r="F248" t="s">
        <v>2431</v>
      </c>
      <c r="G248" t="s">
        <v>30</v>
      </c>
      <c r="H248" t="s">
        <v>2432</v>
      </c>
      <c r="I248" t="s">
        <v>2433</v>
      </c>
      <c r="J248" t="s">
        <v>167</v>
      </c>
      <c r="K248" t="s">
        <v>204</v>
      </c>
      <c r="L248" s="1">
        <v>46210</v>
      </c>
      <c r="M248" t="s">
        <v>1225</v>
      </c>
      <c r="N248">
        <v>208399</v>
      </c>
      <c r="O248" t="s">
        <v>179</v>
      </c>
      <c r="P248" t="s">
        <v>179</v>
      </c>
      <c r="Q248">
        <v>58</v>
      </c>
      <c r="R248" t="s">
        <v>107</v>
      </c>
      <c r="S248" t="s">
        <v>2434</v>
      </c>
      <c r="T248">
        <v>76</v>
      </c>
      <c r="U248" t="s">
        <v>2435</v>
      </c>
      <c r="V248" t="s">
        <v>157</v>
      </c>
      <c r="W248" t="s">
        <v>75</v>
      </c>
      <c r="X248" t="s">
        <v>2436</v>
      </c>
      <c r="Y248" t="s">
        <v>2437</v>
      </c>
      <c r="Z248" t="s">
        <v>2417</v>
      </c>
    </row>
    <row r="249" spans="1:26" x14ac:dyDescent="0.2">
      <c r="A249">
        <v>245</v>
      </c>
      <c r="B249" t="s">
        <v>2438</v>
      </c>
      <c r="C249">
        <v>2016</v>
      </c>
      <c r="D249" t="s">
        <v>65</v>
      </c>
      <c r="E249" t="s">
        <v>2439</v>
      </c>
      <c r="F249" t="s">
        <v>2440</v>
      </c>
      <c r="G249" t="s">
        <v>30</v>
      </c>
      <c r="H249" t="s">
        <v>2441</v>
      </c>
      <c r="K249" t="s">
        <v>271</v>
      </c>
      <c r="L249" s="1">
        <v>46241</v>
      </c>
      <c r="M249" t="s">
        <v>757</v>
      </c>
      <c r="N249">
        <v>330251</v>
      </c>
      <c r="O249" t="s">
        <v>37</v>
      </c>
      <c r="P249" t="s">
        <v>41</v>
      </c>
      <c r="Q249">
        <v>241</v>
      </c>
      <c r="R249" t="s">
        <v>1225</v>
      </c>
      <c r="S249" t="s">
        <v>2442</v>
      </c>
      <c r="T249">
        <v>82</v>
      </c>
      <c r="U249" t="s">
        <v>2443</v>
      </c>
      <c r="V249" t="s">
        <v>1225</v>
      </c>
      <c r="W249" t="s">
        <v>1858</v>
      </c>
      <c r="X249" t="s">
        <v>2444</v>
      </c>
      <c r="Y249" t="s">
        <v>2445</v>
      </c>
      <c r="Z249" t="s">
        <v>2417</v>
      </c>
    </row>
    <row r="250" spans="1:26" x14ac:dyDescent="0.2">
      <c r="A250">
        <v>246</v>
      </c>
      <c r="B250" t="s">
        <v>2446</v>
      </c>
      <c r="C250">
        <v>1931</v>
      </c>
      <c r="D250" t="s">
        <v>2447</v>
      </c>
      <c r="E250" t="s">
        <v>2448</v>
      </c>
      <c r="F250" t="s">
        <v>2449</v>
      </c>
      <c r="G250" t="s">
        <v>30</v>
      </c>
      <c r="H250" t="s">
        <v>2450</v>
      </c>
      <c r="I250" t="s">
        <v>166</v>
      </c>
      <c r="J250" t="s">
        <v>2451</v>
      </c>
      <c r="K250" t="s">
        <v>204</v>
      </c>
      <c r="L250" s="1">
        <v>46241</v>
      </c>
      <c r="M250" t="s">
        <v>757</v>
      </c>
      <c r="N250">
        <v>83138</v>
      </c>
      <c r="O250" t="s">
        <v>74</v>
      </c>
      <c r="P250" t="s">
        <v>97</v>
      </c>
      <c r="Q250">
        <v>67</v>
      </c>
      <c r="R250" t="s">
        <v>271</v>
      </c>
      <c r="S250" t="s">
        <v>2452</v>
      </c>
      <c r="T250">
        <v>76</v>
      </c>
      <c r="U250" t="s">
        <v>2453</v>
      </c>
      <c r="V250" t="s">
        <v>250</v>
      </c>
      <c r="W250" t="s">
        <v>75</v>
      </c>
      <c r="X250" t="s">
        <v>2454</v>
      </c>
      <c r="Y250" t="s">
        <v>2455</v>
      </c>
      <c r="Z250" t="s">
        <v>2417</v>
      </c>
    </row>
    <row r="251" spans="1:26" x14ac:dyDescent="0.2">
      <c r="A251">
        <v>247</v>
      </c>
      <c r="B251" t="s">
        <v>2456</v>
      </c>
      <c r="C251">
        <v>2013</v>
      </c>
      <c r="D251" t="s">
        <v>1412</v>
      </c>
      <c r="E251" t="s">
        <v>1786</v>
      </c>
      <c r="F251" t="s">
        <v>2457</v>
      </c>
      <c r="G251" t="s">
        <v>30</v>
      </c>
      <c r="H251" t="s">
        <v>2458</v>
      </c>
      <c r="I251" t="s">
        <v>2459</v>
      </c>
      <c r="J251" t="s">
        <v>2460</v>
      </c>
      <c r="K251" t="s">
        <v>271</v>
      </c>
      <c r="L251" s="1">
        <v>46272</v>
      </c>
      <c r="M251" t="s">
        <v>484</v>
      </c>
      <c r="N251">
        <v>178527</v>
      </c>
      <c r="O251" t="s">
        <v>57</v>
      </c>
      <c r="P251" t="s">
        <v>97</v>
      </c>
      <c r="Q251">
        <v>168</v>
      </c>
      <c r="R251" t="s">
        <v>304</v>
      </c>
      <c r="S251" t="s">
        <v>2461</v>
      </c>
      <c r="T251">
        <v>80</v>
      </c>
      <c r="U251" t="s">
        <v>2462</v>
      </c>
      <c r="V251" t="s">
        <v>757</v>
      </c>
      <c r="W251" t="s">
        <v>75</v>
      </c>
      <c r="X251" t="s">
        <v>2463</v>
      </c>
      <c r="Y251" t="s">
        <v>2464</v>
      </c>
      <c r="Z251" t="s">
        <v>2417</v>
      </c>
    </row>
    <row r="252" spans="1:26" x14ac:dyDescent="0.2">
      <c r="A252">
        <v>248</v>
      </c>
      <c r="B252" t="s">
        <v>2465</v>
      </c>
      <c r="C252">
        <v>2008</v>
      </c>
      <c r="D252" t="s">
        <v>1161</v>
      </c>
      <c r="E252" t="s">
        <v>2466</v>
      </c>
      <c r="F252" t="s">
        <v>2467</v>
      </c>
      <c r="G252" t="s">
        <v>30</v>
      </c>
      <c r="H252" t="s">
        <v>2468</v>
      </c>
      <c r="I252" t="s">
        <v>2469</v>
      </c>
      <c r="J252" t="s">
        <v>2341</v>
      </c>
      <c r="K252" t="s">
        <v>204</v>
      </c>
      <c r="L252" s="1">
        <v>46210</v>
      </c>
      <c r="M252" t="s">
        <v>1225</v>
      </c>
      <c r="N252">
        <v>59645</v>
      </c>
      <c r="O252" t="s">
        <v>97</v>
      </c>
      <c r="P252" t="s">
        <v>107</v>
      </c>
      <c r="Q252">
        <v>103</v>
      </c>
      <c r="R252" t="s">
        <v>204</v>
      </c>
      <c r="S252" t="s">
        <v>2470</v>
      </c>
      <c r="T252">
        <v>78</v>
      </c>
      <c r="U252" t="s">
        <v>2471</v>
      </c>
      <c r="V252" t="s">
        <v>157</v>
      </c>
      <c r="W252" t="s">
        <v>253</v>
      </c>
      <c r="X252" t="s">
        <v>2472</v>
      </c>
      <c r="Y252" t="s">
        <v>2473</v>
      </c>
      <c r="Z252" t="s">
        <v>2417</v>
      </c>
    </row>
    <row r="253" spans="1:26" x14ac:dyDescent="0.2">
      <c r="A253">
        <v>249</v>
      </c>
      <c r="B253" t="s">
        <v>2474</v>
      </c>
      <c r="C253">
        <v>1999</v>
      </c>
      <c r="D253" t="s">
        <v>65</v>
      </c>
      <c r="E253" t="s">
        <v>2475</v>
      </c>
      <c r="F253" t="s">
        <v>2476</v>
      </c>
      <c r="G253" t="s">
        <v>30</v>
      </c>
      <c r="H253" t="s">
        <v>2477</v>
      </c>
      <c r="I253" t="s">
        <v>2478</v>
      </c>
      <c r="J253" t="s">
        <v>2479</v>
      </c>
      <c r="K253" t="s">
        <v>250</v>
      </c>
      <c r="L253" s="1">
        <v>46089</v>
      </c>
      <c r="M253" t="s">
        <v>204</v>
      </c>
      <c r="N253">
        <v>1244248</v>
      </c>
      <c r="O253" t="s">
        <v>271</v>
      </c>
      <c r="P253" t="s">
        <v>204</v>
      </c>
      <c r="Q253">
        <v>118</v>
      </c>
      <c r="R253" t="s">
        <v>97</v>
      </c>
      <c r="S253" t="s">
        <v>2480</v>
      </c>
      <c r="T253">
        <v>80</v>
      </c>
      <c r="U253" t="s">
        <v>2481</v>
      </c>
      <c r="V253" t="s">
        <v>228</v>
      </c>
      <c r="W253" t="s">
        <v>916</v>
      </c>
      <c r="X253" t="s">
        <v>2482</v>
      </c>
      <c r="Y253" t="s">
        <v>2483</v>
      </c>
      <c r="Z253" t="s">
        <v>2417</v>
      </c>
    </row>
    <row r="254" spans="1:26" x14ac:dyDescent="0.2">
      <c r="A254">
        <v>250</v>
      </c>
      <c r="B254" t="s">
        <v>2484</v>
      </c>
      <c r="C254">
        <v>1987</v>
      </c>
      <c r="D254" t="s">
        <v>2485</v>
      </c>
      <c r="E254" t="s">
        <v>2419</v>
      </c>
      <c r="F254" t="s">
        <v>2486</v>
      </c>
      <c r="G254" t="s">
        <v>30</v>
      </c>
      <c r="H254" t="s">
        <v>2487</v>
      </c>
      <c r="I254" t="s">
        <v>2488</v>
      </c>
      <c r="J254" t="s">
        <v>312</v>
      </c>
      <c r="K254" t="s">
        <v>250</v>
      </c>
      <c r="L254" t="s">
        <v>564</v>
      </c>
      <c r="M254" t="s">
        <v>304</v>
      </c>
      <c r="N254">
        <v>463935</v>
      </c>
      <c r="O254" t="s">
        <v>757</v>
      </c>
      <c r="P254" t="s">
        <v>204</v>
      </c>
      <c r="Q254">
        <v>81</v>
      </c>
      <c r="R254" t="s">
        <v>97</v>
      </c>
      <c r="S254" t="s">
        <v>2489</v>
      </c>
      <c r="T254">
        <v>82</v>
      </c>
      <c r="U254" t="s">
        <v>2490</v>
      </c>
      <c r="V254" t="s">
        <v>179</v>
      </c>
      <c r="W254" t="s">
        <v>444</v>
      </c>
      <c r="X254" t="s">
        <v>2491</v>
      </c>
      <c r="Y254" t="s">
        <v>2492</v>
      </c>
      <c r="Z254" t="s">
        <v>2493</v>
      </c>
    </row>
    <row r="255" spans="1:26" x14ac:dyDescent="0.2">
      <c r="A255">
        <v>251</v>
      </c>
      <c r="B255" t="s">
        <v>2494</v>
      </c>
      <c r="C255">
        <v>1975</v>
      </c>
      <c r="D255" t="s">
        <v>2495</v>
      </c>
      <c r="E255" t="s">
        <v>2496</v>
      </c>
      <c r="F255" t="s">
        <v>2497</v>
      </c>
      <c r="G255" t="s">
        <v>189</v>
      </c>
      <c r="H255" t="s">
        <v>2498</v>
      </c>
      <c r="I255" t="s">
        <v>2499</v>
      </c>
      <c r="J255" t="s">
        <v>2500</v>
      </c>
      <c r="K255" t="s">
        <v>204</v>
      </c>
      <c r="L255" s="1">
        <v>46149</v>
      </c>
      <c r="M255" t="s">
        <v>1270</v>
      </c>
      <c r="N255">
        <v>44979</v>
      </c>
      <c r="O255" t="s">
        <v>97</v>
      </c>
      <c r="P255" t="s">
        <v>107</v>
      </c>
      <c r="Q255">
        <v>60</v>
      </c>
      <c r="R255" t="s">
        <v>271</v>
      </c>
      <c r="S255" t="s">
        <v>2501</v>
      </c>
      <c r="T255">
        <v>78</v>
      </c>
      <c r="U255" t="s">
        <v>2502</v>
      </c>
      <c r="V255" t="s">
        <v>157</v>
      </c>
      <c r="W255" t="s">
        <v>1819</v>
      </c>
      <c r="X255" t="s">
        <v>2503</v>
      </c>
      <c r="Y255" t="s">
        <v>2504</v>
      </c>
      <c r="Z255" t="s">
        <v>2493</v>
      </c>
    </row>
    <row r="256" spans="1:26" x14ac:dyDescent="0.2">
      <c r="A256">
        <v>252</v>
      </c>
      <c r="B256" t="s">
        <v>2505</v>
      </c>
      <c r="C256">
        <v>2009</v>
      </c>
      <c r="D256" t="s">
        <v>2506</v>
      </c>
      <c r="E256" t="s">
        <v>2507</v>
      </c>
      <c r="F256" t="s">
        <v>2508</v>
      </c>
      <c r="G256" t="s">
        <v>30</v>
      </c>
      <c r="H256" t="s">
        <v>2509</v>
      </c>
      <c r="I256" t="s">
        <v>2510</v>
      </c>
      <c r="J256" t="s">
        <v>1260</v>
      </c>
      <c r="K256" t="s">
        <v>204</v>
      </c>
      <c r="L256" s="1">
        <v>46030</v>
      </c>
      <c r="M256" t="s">
        <v>228</v>
      </c>
      <c r="N256">
        <v>194996</v>
      </c>
      <c r="O256" t="s">
        <v>1551</v>
      </c>
      <c r="P256" t="s">
        <v>304</v>
      </c>
      <c r="Q256">
        <v>63</v>
      </c>
      <c r="R256" t="s">
        <v>157</v>
      </c>
      <c r="S256" t="s">
        <v>2511</v>
      </c>
      <c r="T256">
        <v>86</v>
      </c>
      <c r="U256" t="s">
        <v>2512</v>
      </c>
      <c r="V256" t="s">
        <v>35</v>
      </c>
      <c r="W256" t="s">
        <v>2426</v>
      </c>
      <c r="X256" t="s">
        <v>2513</v>
      </c>
      <c r="Y256" t="s">
        <v>2514</v>
      </c>
      <c r="Z256" t="s">
        <v>2493</v>
      </c>
    </row>
    <row r="257" spans="1:26" x14ac:dyDescent="0.2">
      <c r="A257">
        <v>253</v>
      </c>
      <c r="B257" t="s">
        <v>2515</v>
      </c>
      <c r="C257">
        <v>2017</v>
      </c>
      <c r="D257" t="s">
        <v>2516</v>
      </c>
      <c r="E257" t="s">
        <v>1199</v>
      </c>
      <c r="F257" t="s">
        <v>2517</v>
      </c>
      <c r="G257" t="s">
        <v>30</v>
      </c>
      <c r="H257" t="s">
        <v>2518</v>
      </c>
      <c r="K257" t="s">
        <v>271</v>
      </c>
      <c r="L257" s="1">
        <v>46241</v>
      </c>
      <c r="M257" t="s">
        <v>757</v>
      </c>
      <c r="N257">
        <v>769404</v>
      </c>
      <c r="O257" t="s">
        <v>57</v>
      </c>
      <c r="P257" t="s">
        <v>97</v>
      </c>
      <c r="Q257">
        <v>303</v>
      </c>
      <c r="R257" t="s">
        <v>484</v>
      </c>
      <c r="S257" t="s">
        <v>2519</v>
      </c>
      <c r="T257">
        <v>76</v>
      </c>
      <c r="U257" t="s">
        <v>2520</v>
      </c>
      <c r="V257" t="s">
        <v>204</v>
      </c>
      <c r="W257" t="s">
        <v>2521</v>
      </c>
      <c r="X257" t="s">
        <v>2522</v>
      </c>
      <c r="Y257" t="s">
        <v>2523</v>
      </c>
      <c r="Z257" t="s">
        <v>2493</v>
      </c>
    </row>
    <row r="258" spans="1:26" x14ac:dyDescent="0.2">
      <c r="A258">
        <v>254</v>
      </c>
      <c r="B258" t="s">
        <v>2524</v>
      </c>
      <c r="C258">
        <v>1995</v>
      </c>
      <c r="D258" t="s">
        <v>2525</v>
      </c>
      <c r="E258" t="s">
        <v>2526</v>
      </c>
      <c r="F258" t="s">
        <v>2527</v>
      </c>
      <c r="G258" t="s">
        <v>30</v>
      </c>
      <c r="H258" t="s">
        <v>2528</v>
      </c>
      <c r="I258" t="s">
        <v>2529</v>
      </c>
      <c r="J258" t="s">
        <v>178</v>
      </c>
      <c r="K258" t="s">
        <v>250</v>
      </c>
      <c r="L258" s="1">
        <v>46089</v>
      </c>
      <c r="M258" t="s">
        <v>204</v>
      </c>
      <c r="N258">
        <v>749997</v>
      </c>
      <c r="O258" t="s">
        <v>1241</v>
      </c>
      <c r="P258" t="s">
        <v>757</v>
      </c>
      <c r="Q258">
        <v>101</v>
      </c>
      <c r="R258" t="s">
        <v>41</v>
      </c>
      <c r="S258" t="s">
        <v>2530</v>
      </c>
      <c r="T258">
        <v>86</v>
      </c>
      <c r="U258" t="s">
        <v>2531</v>
      </c>
      <c r="V258" t="s">
        <v>54</v>
      </c>
      <c r="W258" t="s">
        <v>253</v>
      </c>
      <c r="X258" t="s">
        <v>2532</v>
      </c>
      <c r="Y258" t="s">
        <v>2533</v>
      </c>
      <c r="Z258" t="s">
        <v>2493</v>
      </c>
    </row>
    <row r="259" spans="1:26" x14ac:dyDescent="0.2">
      <c r="A259">
        <v>255</v>
      </c>
      <c r="B259" t="s">
        <v>2534</v>
      </c>
      <c r="C259">
        <v>2005</v>
      </c>
      <c r="D259" t="s">
        <v>211</v>
      </c>
      <c r="E259" t="s">
        <v>2535</v>
      </c>
      <c r="F259" t="s">
        <v>2536</v>
      </c>
      <c r="G259" t="s">
        <v>30</v>
      </c>
      <c r="H259" t="s">
        <v>2537</v>
      </c>
      <c r="I259" t="s">
        <v>2538</v>
      </c>
      <c r="J259" t="s">
        <v>614</v>
      </c>
      <c r="K259" t="s">
        <v>250</v>
      </c>
      <c r="L259" s="1">
        <v>46241</v>
      </c>
      <c r="M259" t="s">
        <v>757</v>
      </c>
      <c r="N259">
        <v>348415</v>
      </c>
      <c r="O259" t="s">
        <v>250</v>
      </c>
      <c r="P259" t="s">
        <v>757</v>
      </c>
      <c r="Q259">
        <v>96</v>
      </c>
      <c r="R259" t="s">
        <v>179</v>
      </c>
      <c r="S259" t="s">
        <v>2539</v>
      </c>
      <c r="T259">
        <v>82</v>
      </c>
      <c r="U259" t="s">
        <v>2540</v>
      </c>
      <c r="V259" t="s">
        <v>35</v>
      </c>
      <c r="W259" t="s">
        <v>2541</v>
      </c>
      <c r="X259" t="s">
        <v>2542</v>
      </c>
      <c r="Y259" t="s">
        <v>2543</v>
      </c>
      <c r="Z259" t="s">
        <v>2493</v>
      </c>
    </row>
    <row r="260" spans="1:26" x14ac:dyDescent="0.2">
      <c r="A260">
        <v>256</v>
      </c>
      <c r="B260" t="s">
        <v>2544</v>
      </c>
      <c r="C260">
        <v>1965</v>
      </c>
      <c r="D260" t="s">
        <v>2545</v>
      </c>
      <c r="E260" t="s">
        <v>610</v>
      </c>
      <c r="F260" t="s">
        <v>2546</v>
      </c>
      <c r="G260" t="s">
        <v>30</v>
      </c>
      <c r="H260" t="s">
        <v>2547</v>
      </c>
      <c r="I260" t="s">
        <v>2548</v>
      </c>
      <c r="J260" t="s">
        <v>2549</v>
      </c>
      <c r="K260" t="s">
        <v>204</v>
      </c>
      <c r="L260" s="1">
        <v>46180</v>
      </c>
      <c r="M260" t="s">
        <v>1241</v>
      </c>
      <c r="N260">
        <v>59375</v>
      </c>
      <c r="O260" t="s">
        <v>74</v>
      </c>
      <c r="P260" t="s">
        <v>41</v>
      </c>
      <c r="Q260">
        <v>52</v>
      </c>
      <c r="R260" t="s">
        <v>204</v>
      </c>
      <c r="S260" t="s">
        <v>2550</v>
      </c>
      <c r="T260">
        <v>78</v>
      </c>
      <c r="U260" t="s">
        <v>2551</v>
      </c>
      <c r="V260" t="s">
        <v>228</v>
      </c>
      <c r="W260" t="s">
        <v>75</v>
      </c>
      <c r="X260" t="s">
        <v>2552</v>
      </c>
      <c r="Y260" t="s">
        <v>2553</v>
      </c>
      <c r="Z260" t="s">
        <v>2493</v>
      </c>
    </row>
    <row r="261" spans="1:26" x14ac:dyDescent="0.2">
      <c r="A261">
        <v>257</v>
      </c>
      <c r="B261" t="s">
        <v>2554</v>
      </c>
      <c r="C261">
        <v>2018</v>
      </c>
      <c r="D261" t="s">
        <v>65</v>
      </c>
      <c r="E261" t="s">
        <v>2555</v>
      </c>
      <c r="F261" t="s">
        <v>2556</v>
      </c>
      <c r="G261" t="s">
        <v>2557</v>
      </c>
      <c r="H261" t="s">
        <v>2558</v>
      </c>
      <c r="K261" t="s">
        <v>250</v>
      </c>
      <c r="L261" s="1">
        <v>46120</v>
      </c>
      <c r="M261" t="s">
        <v>271</v>
      </c>
      <c r="N261">
        <v>114819</v>
      </c>
      <c r="O261" t="s">
        <v>1270</v>
      </c>
      <c r="P261" t="s">
        <v>1225</v>
      </c>
      <c r="Q261">
        <v>108</v>
      </c>
      <c r="R261" t="s">
        <v>97</v>
      </c>
      <c r="S261" t="s">
        <v>2559</v>
      </c>
      <c r="T261">
        <v>84</v>
      </c>
      <c r="U261" t="s">
        <v>2560</v>
      </c>
      <c r="V261" t="s">
        <v>41</v>
      </c>
      <c r="W261" t="s">
        <v>75</v>
      </c>
      <c r="X261" t="s">
        <v>2561</v>
      </c>
      <c r="Y261" t="s">
        <v>2562</v>
      </c>
      <c r="Z261" t="s">
        <v>2493</v>
      </c>
    </row>
    <row r="262" spans="1:26" x14ac:dyDescent="0.2">
      <c r="A262">
        <v>258</v>
      </c>
      <c r="B262" t="s">
        <v>2563</v>
      </c>
      <c r="C262">
        <v>2001</v>
      </c>
      <c r="D262" t="s">
        <v>2564</v>
      </c>
      <c r="E262" t="s">
        <v>1664</v>
      </c>
      <c r="F262" t="s">
        <v>2565</v>
      </c>
      <c r="G262" t="s">
        <v>30</v>
      </c>
      <c r="H262" t="s">
        <v>2566</v>
      </c>
      <c r="I262" t="s">
        <v>2567</v>
      </c>
      <c r="J262" t="s">
        <v>2568</v>
      </c>
      <c r="K262" t="s">
        <v>204</v>
      </c>
      <c r="L262" s="1">
        <v>46272</v>
      </c>
      <c r="M262" t="s">
        <v>484</v>
      </c>
      <c r="N262">
        <v>404168</v>
      </c>
      <c r="O262" t="s">
        <v>179</v>
      </c>
      <c r="P262" t="s">
        <v>304</v>
      </c>
      <c r="Q262">
        <v>156</v>
      </c>
      <c r="R262" t="s">
        <v>271</v>
      </c>
      <c r="S262" t="s">
        <v>2569</v>
      </c>
      <c r="T262">
        <v>86</v>
      </c>
      <c r="U262" t="s">
        <v>2570</v>
      </c>
      <c r="V262" t="s">
        <v>204</v>
      </c>
      <c r="W262" t="s">
        <v>75</v>
      </c>
      <c r="X262" t="s">
        <v>2571</v>
      </c>
      <c r="Y262" t="s">
        <v>2572</v>
      </c>
      <c r="Z262" t="s">
        <v>2493</v>
      </c>
    </row>
    <row r="263" spans="1:26" x14ac:dyDescent="0.2">
      <c r="A263">
        <v>259</v>
      </c>
      <c r="B263" t="s">
        <v>2573</v>
      </c>
      <c r="C263">
        <v>2003</v>
      </c>
      <c r="D263" t="s">
        <v>2139</v>
      </c>
      <c r="E263" t="s">
        <v>2574</v>
      </c>
      <c r="F263" t="s">
        <v>2575</v>
      </c>
      <c r="G263" t="s">
        <v>30</v>
      </c>
      <c r="H263" t="s">
        <v>2576</v>
      </c>
      <c r="I263" t="s">
        <v>2577</v>
      </c>
      <c r="J263" t="s">
        <v>614</v>
      </c>
      <c r="K263" t="s">
        <v>204</v>
      </c>
      <c r="L263" s="1">
        <v>46210</v>
      </c>
      <c r="M263" t="s">
        <v>1225</v>
      </c>
      <c r="N263">
        <v>508646</v>
      </c>
      <c r="O263" t="s">
        <v>74</v>
      </c>
      <c r="P263" t="s">
        <v>54</v>
      </c>
      <c r="Q263">
        <v>137</v>
      </c>
      <c r="R263" t="s">
        <v>250</v>
      </c>
      <c r="S263" t="s">
        <v>2578</v>
      </c>
      <c r="T263">
        <v>76</v>
      </c>
      <c r="U263" t="s">
        <v>2579</v>
      </c>
      <c r="V263" t="s">
        <v>179</v>
      </c>
      <c r="W263" t="s">
        <v>1774</v>
      </c>
      <c r="X263" t="s">
        <v>2580</v>
      </c>
      <c r="Y263" t="s">
        <v>2581</v>
      </c>
      <c r="Z263" t="s">
        <v>2493</v>
      </c>
    </row>
    <row r="264" spans="1:26" x14ac:dyDescent="0.2">
      <c r="A264">
        <v>260</v>
      </c>
      <c r="B264" t="s">
        <v>2582</v>
      </c>
      <c r="C264">
        <v>1976</v>
      </c>
      <c r="D264" t="s">
        <v>2583</v>
      </c>
      <c r="E264" t="s">
        <v>2584</v>
      </c>
      <c r="F264" t="s">
        <v>2585</v>
      </c>
      <c r="G264" t="s">
        <v>30</v>
      </c>
      <c r="H264" t="s">
        <v>2586</v>
      </c>
      <c r="I264" t="s">
        <v>2587</v>
      </c>
      <c r="J264" t="s">
        <v>1509</v>
      </c>
      <c r="K264" t="s">
        <v>204</v>
      </c>
      <c r="L264" s="1">
        <v>46272</v>
      </c>
      <c r="M264" t="s">
        <v>484</v>
      </c>
      <c r="N264">
        <v>130574</v>
      </c>
      <c r="O264" t="s">
        <v>271</v>
      </c>
      <c r="P264" t="s">
        <v>97</v>
      </c>
      <c r="Q264">
        <v>61</v>
      </c>
      <c r="R264" t="s">
        <v>157</v>
      </c>
      <c r="S264" t="s">
        <v>2588</v>
      </c>
      <c r="T264">
        <v>84</v>
      </c>
      <c r="U264" t="s">
        <v>2589</v>
      </c>
      <c r="V264" t="s">
        <v>1270</v>
      </c>
      <c r="W264" t="s">
        <v>135</v>
      </c>
      <c r="X264" t="s">
        <v>2590</v>
      </c>
      <c r="Y264" t="s">
        <v>2591</v>
      </c>
      <c r="Z264" t="s">
        <v>2493</v>
      </c>
    </row>
    <row r="265" spans="1:26" x14ac:dyDescent="0.2">
      <c r="A265">
        <v>261</v>
      </c>
      <c r="B265" t="s">
        <v>2592</v>
      </c>
      <c r="C265">
        <v>2000</v>
      </c>
      <c r="D265" t="s">
        <v>643</v>
      </c>
      <c r="E265" t="s">
        <v>2593</v>
      </c>
      <c r="F265" t="s">
        <v>2594</v>
      </c>
      <c r="G265" t="s">
        <v>492</v>
      </c>
      <c r="H265" t="s">
        <v>2595</v>
      </c>
      <c r="I265" t="s">
        <v>2596</v>
      </c>
      <c r="J265" t="s">
        <v>2597</v>
      </c>
      <c r="K265" t="s">
        <v>250</v>
      </c>
      <c r="L265" t="s">
        <v>564</v>
      </c>
      <c r="M265" t="s">
        <v>304</v>
      </c>
      <c r="N265">
        <v>262066</v>
      </c>
      <c r="O265" t="s">
        <v>204</v>
      </c>
      <c r="P265" t="s">
        <v>484</v>
      </c>
      <c r="Q265">
        <v>81</v>
      </c>
      <c r="R265" t="s">
        <v>97</v>
      </c>
      <c r="S265" t="s">
        <v>2598</v>
      </c>
      <c r="T265">
        <v>84</v>
      </c>
      <c r="U265" t="s">
        <v>2599</v>
      </c>
      <c r="V265" t="s">
        <v>271</v>
      </c>
      <c r="W265" t="s">
        <v>75</v>
      </c>
      <c r="X265" t="s">
        <v>2600</v>
      </c>
      <c r="Y265" t="s">
        <v>2601</v>
      </c>
      <c r="Z265" t="s">
        <v>2493</v>
      </c>
    </row>
    <row r="266" spans="1:26" x14ac:dyDescent="0.2">
      <c r="A266">
        <v>262</v>
      </c>
      <c r="B266" t="s">
        <v>2602</v>
      </c>
      <c r="C266">
        <v>1964</v>
      </c>
      <c r="D266" t="s">
        <v>211</v>
      </c>
      <c r="E266" t="s">
        <v>2603</v>
      </c>
      <c r="F266" t="s">
        <v>2604</v>
      </c>
      <c r="G266" t="s">
        <v>321</v>
      </c>
      <c r="H266" t="s">
        <v>2605</v>
      </c>
      <c r="I266" t="s">
        <v>2606</v>
      </c>
      <c r="J266" t="s">
        <v>2607</v>
      </c>
      <c r="K266" t="s">
        <v>204</v>
      </c>
      <c r="L266" s="1">
        <v>46241</v>
      </c>
      <c r="M266" t="s">
        <v>757</v>
      </c>
      <c r="N266">
        <v>32989</v>
      </c>
      <c r="O266" t="s">
        <v>54</v>
      </c>
      <c r="P266" t="s">
        <v>157</v>
      </c>
      <c r="Q266">
        <v>55</v>
      </c>
      <c r="R266" t="s">
        <v>204</v>
      </c>
      <c r="S266" t="s">
        <v>2608</v>
      </c>
      <c r="T266">
        <v>82</v>
      </c>
      <c r="U266" t="s">
        <v>2609</v>
      </c>
      <c r="V266" t="s">
        <v>250</v>
      </c>
      <c r="W266" t="s">
        <v>135</v>
      </c>
      <c r="X266" t="s">
        <v>2610</v>
      </c>
      <c r="Y266" t="s">
        <v>2611</v>
      </c>
      <c r="Z266" t="s">
        <v>2493</v>
      </c>
    </row>
    <row r="267" spans="1:26" x14ac:dyDescent="0.2">
      <c r="A267">
        <v>263</v>
      </c>
      <c r="B267" t="s">
        <v>2612</v>
      </c>
      <c r="C267">
        <v>2000</v>
      </c>
      <c r="D267" t="s">
        <v>2613</v>
      </c>
      <c r="E267" t="s">
        <v>2614</v>
      </c>
      <c r="F267" t="s">
        <v>2615</v>
      </c>
      <c r="G267" t="s">
        <v>492</v>
      </c>
      <c r="H267" t="s">
        <v>2616</v>
      </c>
      <c r="I267" t="s">
        <v>2617</v>
      </c>
      <c r="J267" t="s">
        <v>335</v>
      </c>
      <c r="K267" t="s">
        <v>250</v>
      </c>
      <c r="L267" s="1">
        <v>46272</v>
      </c>
      <c r="M267" t="s">
        <v>484</v>
      </c>
      <c r="N267">
        <v>59346</v>
      </c>
      <c r="O267" t="s">
        <v>304</v>
      </c>
      <c r="P267" t="s">
        <v>1241</v>
      </c>
      <c r="Q267">
        <v>55</v>
      </c>
      <c r="R267" t="s">
        <v>41</v>
      </c>
      <c r="S267" t="s">
        <v>2618</v>
      </c>
      <c r="T267">
        <v>82</v>
      </c>
      <c r="U267" t="s">
        <v>2619</v>
      </c>
      <c r="V267" t="s">
        <v>35</v>
      </c>
      <c r="X267" t="s">
        <v>2620</v>
      </c>
      <c r="Y267" t="s">
        <v>2621</v>
      </c>
      <c r="Z267" t="s">
        <v>2493</v>
      </c>
    </row>
    <row r="268" spans="1:26" x14ac:dyDescent="0.2">
      <c r="A268">
        <v>264</v>
      </c>
      <c r="B268" t="s">
        <v>2622</v>
      </c>
      <c r="C268">
        <v>1975</v>
      </c>
      <c r="D268" t="s">
        <v>2623</v>
      </c>
      <c r="E268" t="s">
        <v>2624</v>
      </c>
      <c r="F268" t="s">
        <v>2625</v>
      </c>
      <c r="G268" t="s">
        <v>30</v>
      </c>
      <c r="H268" t="s">
        <v>2626</v>
      </c>
      <c r="I268" t="s">
        <v>2627</v>
      </c>
      <c r="J268" t="s">
        <v>33</v>
      </c>
      <c r="K268" t="s">
        <v>204</v>
      </c>
      <c r="L268" s="1">
        <v>46180</v>
      </c>
      <c r="M268" t="s">
        <v>1241</v>
      </c>
      <c r="N268">
        <v>29656</v>
      </c>
      <c r="O268" t="s">
        <v>37</v>
      </c>
      <c r="P268" t="s">
        <v>41</v>
      </c>
      <c r="Q268">
        <v>75</v>
      </c>
      <c r="R268" t="s">
        <v>228</v>
      </c>
      <c r="S268" t="s">
        <v>2628</v>
      </c>
      <c r="T268">
        <v>84</v>
      </c>
      <c r="U268" t="s">
        <v>2629</v>
      </c>
      <c r="V268" t="s">
        <v>1551</v>
      </c>
      <c r="W268" t="s">
        <v>325</v>
      </c>
      <c r="X268" t="s">
        <v>2630</v>
      </c>
      <c r="Y268" t="s">
        <v>2631</v>
      </c>
      <c r="Z268" t="s">
        <v>2493</v>
      </c>
    </row>
    <row r="269" spans="1:26" x14ac:dyDescent="0.2">
      <c r="A269">
        <v>265</v>
      </c>
      <c r="B269">
        <v>1917</v>
      </c>
      <c r="C269">
        <v>2019</v>
      </c>
      <c r="D269" t="s">
        <v>2632</v>
      </c>
      <c r="E269" t="s">
        <v>2475</v>
      </c>
      <c r="F269" t="s">
        <v>2633</v>
      </c>
      <c r="G269" t="s">
        <v>30</v>
      </c>
      <c r="H269" t="s">
        <v>2634</v>
      </c>
      <c r="K269" t="s">
        <v>204</v>
      </c>
      <c r="L269" s="1">
        <v>46061</v>
      </c>
      <c r="M269" t="s">
        <v>250</v>
      </c>
      <c r="N269">
        <v>722017</v>
      </c>
      <c r="O269" t="s">
        <v>757</v>
      </c>
      <c r="P269" t="s">
        <v>250</v>
      </c>
      <c r="Q269">
        <v>295</v>
      </c>
      <c r="R269" t="s">
        <v>54</v>
      </c>
      <c r="S269" t="s">
        <v>2635</v>
      </c>
      <c r="T269">
        <v>82</v>
      </c>
      <c r="U269" t="s">
        <v>2636</v>
      </c>
      <c r="V269" t="s">
        <v>97</v>
      </c>
      <c r="W269" t="s">
        <v>2637</v>
      </c>
      <c r="X269" t="s">
        <v>2638</v>
      </c>
      <c r="Y269" t="s">
        <v>2639</v>
      </c>
      <c r="Z269" t="s">
        <v>2493</v>
      </c>
    </row>
    <row r="270" spans="1:26" x14ac:dyDescent="0.2">
      <c r="A270">
        <v>266</v>
      </c>
      <c r="B270" t="s">
        <v>2640</v>
      </c>
      <c r="C270">
        <v>2014</v>
      </c>
      <c r="D270" t="s">
        <v>2641</v>
      </c>
      <c r="E270" t="s">
        <v>1199</v>
      </c>
      <c r="F270" t="s">
        <v>2642</v>
      </c>
      <c r="G270" t="s">
        <v>30</v>
      </c>
      <c r="H270" t="s">
        <v>2643</v>
      </c>
      <c r="I270" t="s">
        <v>2644</v>
      </c>
      <c r="J270" t="s">
        <v>33</v>
      </c>
      <c r="K270" t="s">
        <v>250</v>
      </c>
      <c r="L270" s="1">
        <v>46211</v>
      </c>
      <c r="M270" t="s">
        <v>179</v>
      </c>
      <c r="N270">
        <v>2317550</v>
      </c>
      <c r="O270" t="s">
        <v>1930</v>
      </c>
      <c r="P270" t="s">
        <v>1551</v>
      </c>
      <c r="Q270">
        <v>250</v>
      </c>
      <c r="R270" t="s">
        <v>107</v>
      </c>
      <c r="S270" t="s">
        <v>2645</v>
      </c>
      <c r="T270">
        <v>88</v>
      </c>
      <c r="U270" t="s">
        <v>2646</v>
      </c>
      <c r="V270" t="s">
        <v>35</v>
      </c>
      <c r="W270" t="s">
        <v>1281</v>
      </c>
      <c r="X270" t="s">
        <v>2647</v>
      </c>
      <c r="Y270" t="s">
        <v>2648</v>
      </c>
      <c r="Z270" t="s">
        <v>204</v>
      </c>
    </row>
    <row r="271" spans="1:26" x14ac:dyDescent="0.2">
      <c r="A271">
        <v>267</v>
      </c>
      <c r="B271" t="s">
        <v>2649</v>
      </c>
      <c r="C271">
        <v>2001</v>
      </c>
      <c r="D271" t="s">
        <v>1863</v>
      </c>
      <c r="E271" t="s">
        <v>1394</v>
      </c>
      <c r="F271" t="s">
        <v>2650</v>
      </c>
      <c r="G271" t="s">
        <v>30</v>
      </c>
      <c r="H271" t="s">
        <v>2651</v>
      </c>
      <c r="I271" t="s">
        <v>2652</v>
      </c>
      <c r="J271" t="s">
        <v>2096</v>
      </c>
      <c r="K271" t="s">
        <v>250</v>
      </c>
      <c r="L271" s="1">
        <v>46030</v>
      </c>
      <c r="M271" t="s">
        <v>228</v>
      </c>
      <c r="N271">
        <v>1020910</v>
      </c>
      <c r="O271" t="s">
        <v>484</v>
      </c>
      <c r="P271" t="s">
        <v>228</v>
      </c>
      <c r="Q271">
        <v>129</v>
      </c>
      <c r="R271" t="s">
        <v>179</v>
      </c>
      <c r="S271" t="s">
        <v>2653</v>
      </c>
      <c r="T271">
        <v>82</v>
      </c>
      <c r="U271" t="s">
        <v>2654</v>
      </c>
      <c r="V271" t="s">
        <v>157</v>
      </c>
      <c r="W271" t="s">
        <v>444</v>
      </c>
      <c r="X271" t="s">
        <v>2655</v>
      </c>
      <c r="Y271" t="s">
        <v>2656</v>
      </c>
      <c r="Z271" t="s">
        <v>204</v>
      </c>
    </row>
    <row r="272" spans="1:26" x14ac:dyDescent="0.2">
      <c r="A272">
        <v>268</v>
      </c>
      <c r="B272" t="s">
        <v>2657</v>
      </c>
      <c r="C272">
        <v>1988</v>
      </c>
      <c r="D272" t="s">
        <v>2658</v>
      </c>
      <c r="E272" t="s">
        <v>2659</v>
      </c>
      <c r="F272" t="s">
        <v>2660</v>
      </c>
      <c r="G272" t="s">
        <v>30</v>
      </c>
      <c r="H272" t="s">
        <v>2661</v>
      </c>
      <c r="I272" t="s">
        <v>2662</v>
      </c>
      <c r="J272" t="s">
        <v>312</v>
      </c>
      <c r="K272" t="s">
        <v>250</v>
      </c>
      <c r="L272" s="1">
        <v>46061</v>
      </c>
      <c r="M272" t="s">
        <v>250</v>
      </c>
      <c r="N272">
        <v>985232</v>
      </c>
      <c r="O272" t="s">
        <v>1551</v>
      </c>
      <c r="P272" t="s">
        <v>204</v>
      </c>
      <c r="Q272">
        <v>76</v>
      </c>
      <c r="R272" t="s">
        <v>41</v>
      </c>
      <c r="S272" t="s">
        <v>2663</v>
      </c>
      <c r="T272">
        <v>82</v>
      </c>
      <c r="U272" t="s">
        <v>2664</v>
      </c>
      <c r="V272" t="s">
        <v>97</v>
      </c>
      <c r="W272" t="s">
        <v>253</v>
      </c>
      <c r="X272" t="s">
        <v>2665</v>
      </c>
      <c r="Y272" t="s">
        <v>2666</v>
      </c>
      <c r="Z272" t="s">
        <v>204</v>
      </c>
    </row>
    <row r="273" spans="1:26" x14ac:dyDescent="0.2">
      <c r="A273">
        <v>269</v>
      </c>
      <c r="B273" t="s">
        <v>2667</v>
      </c>
      <c r="C273">
        <v>1991</v>
      </c>
      <c r="D273" t="s">
        <v>2668</v>
      </c>
      <c r="E273" t="s">
        <v>549</v>
      </c>
      <c r="F273" t="s">
        <v>2669</v>
      </c>
      <c r="G273" t="s">
        <v>30</v>
      </c>
      <c r="H273" t="s">
        <v>2670</v>
      </c>
      <c r="I273" t="s">
        <v>2671</v>
      </c>
      <c r="J273" t="s">
        <v>239</v>
      </c>
      <c r="K273" t="s">
        <v>204</v>
      </c>
      <c r="L273" s="1">
        <v>46180</v>
      </c>
      <c r="M273" t="s">
        <v>1241</v>
      </c>
      <c r="N273">
        <v>182168</v>
      </c>
      <c r="O273" t="s">
        <v>97</v>
      </c>
      <c r="P273" t="s">
        <v>250</v>
      </c>
      <c r="Q273">
        <v>93</v>
      </c>
      <c r="R273" t="s">
        <v>304</v>
      </c>
      <c r="S273" t="s">
        <v>2672</v>
      </c>
      <c r="T273">
        <v>84</v>
      </c>
      <c r="U273" t="s">
        <v>2673</v>
      </c>
      <c r="V273" t="s">
        <v>179</v>
      </c>
      <c r="W273" t="s">
        <v>2674</v>
      </c>
      <c r="X273" t="s">
        <v>2675</v>
      </c>
      <c r="Y273" t="s">
        <v>2676</v>
      </c>
      <c r="Z273" t="s">
        <v>204</v>
      </c>
    </row>
    <row r="274" spans="1:26" x14ac:dyDescent="0.2">
      <c r="A274">
        <v>270</v>
      </c>
      <c r="B274" t="s">
        <v>2677</v>
      </c>
      <c r="C274">
        <v>2014</v>
      </c>
      <c r="D274" t="s">
        <v>65</v>
      </c>
      <c r="E274" t="s">
        <v>2678</v>
      </c>
      <c r="F274" t="s">
        <v>2679</v>
      </c>
      <c r="G274" t="s">
        <v>2680</v>
      </c>
      <c r="H274" t="s">
        <v>2681</v>
      </c>
      <c r="I274" t="s">
        <v>2682</v>
      </c>
      <c r="J274" t="s">
        <v>2683</v>
      </c>
      <c r="K274" t="s">
        <v>204</v>
      </c>
      <c r="L274" t="s">
        <v>564</v>
      </c>
      <c r="M274" t="s">
        <v>304</v>
      </c>
      <c r="N274">
        <v>57337</v>
      </c>
      <c r="O274" t="s">
        <v>157</v>
      </c>
      <c r="P274" t="s">
        <v>271</v>
      </c>
      <c r="Q274">
        <v>70</v>
      </c>
      <c r="R274" t="s">
        <v>228</v>
      </c>
      <c r="S274" t="s">
        <v>2684</v>
      </c>
      <c r="T274">
        <v>84</v>
      </c>
      <c r="U274" t="s">
        <v>2685</v>
      </c>
      <c r="V274" t="s">
        <v>228</v>
      </c>
      <c r="W274" t="s">
        <v>75</v>
      </c>
      <c r="X274" t="s">
        <v>2686</v>
      </c>
      <c r="Y274" t="s">
        <v>2687</v>
      </c>
      <c r="Z274" t="s">
        <v>204</v>
      </c>
    </row>
    <row r="275" spans="1:26" x14ac:dyDescent="0.2">
      <c r="A275">
        <v>271</v>
      </c>
      <c r="B275" t="s">
        <v>2688</v>
      </c>
      <c r="C275">
        <v>2005</v>
      </c>
      <c r="D275" t="s">
        <v>211</v>
      </c>
      <c r="E275" t="s">
        <v>1326</v>
      </c>
      <c r="F275" t="s">
        <v>2689</v>
      </c>
      <c r="G275" t="s">
        <v>30</v>
      </c>
      <c r="H275" t="s">
        <v>2690</v>
      </c>
      <c r="I275" t="s">
        <v>2691</v>
      </c>
      <c r="J275" t="s">
        <v>614</v>
      </c>
      <c r="K275" t="s">
        <v>204</v>
      </c>
      <c r="L275" s="1">
        <v>46210</v>
      </c>
      <c r="M275" t="s">
        <v>1225</v>
      </c>
      <c r="N275">
        <v>399071</v>
      </c>
      <c r="O275" t="s">
        <v>179</v>
      </c>
      <c r="P275" t="s">
        <v>204</v>
      </c>
      <c r="Q275">
        <v>148</v>
      </c>
      <c r="R275" t="s">
        <v>228</v>
      </c>
      <c r="S275" t="s">
        <v>2692</v>
      </c>
      <c r="T275">
        <v>82</v>
      </c>
      <c r="U275" t="s">
        <v>2693</v>
      </c>
      <c r="V275" t="s">
        <v>157</v>
      </c>
      <c r="W275" t="s">
        <v>1858</v>
      </c>
      <c r="X275" t="s">
        <v>2694</v>
      </c>
      <c r="Y275" t="s">
        <v>2695</v>
      </c>
      <c r="Z275" t="s">
        <v>204</v>
      </c>
    </row>
    <row r="276" spans="1:26" x14ac:dyDescent="0.2">
      <c r="A276">
        <v>272</v>
      </c>
      <c r="B276" t="s">
        <v>2696</v>
      </c>
      <c r="C276">
        <v>1999</v>
      </c>
      <c r="D276" t="s">
        <v>65</v>
      </c>
      <c r="E276" t="s">
        <v>1768</v>
      </c>
      <c r="F276" t="s">
        <v>2697</v>
      </c>
      <c r="G276" t="s">
        <v>30</v>
      </c>
      <c r="H276" t="s">
        <v>2698</v>
      </c>
      <c r="I276" t="s">
        <v>2699</v>
      </c>
      <c r="J276" t="s">
        <v>312</v>
      </c>
      <c r="K276" t="s">
        <v>228</v>
      </c>
      <c r="L276" s="1">
        <v>46242</v>
      </c>
      <c r="M276" t="s">
        <v>157</v>
      </c>
      <c r="N276">
        <v>2444413</v>
      </c>
      <c r="O276" t="s">
        <v>2700</v>
      </c>
      <c r="P276" t="s">
        <v>1551</v>
      </c>
      <c r="Q276">
        <v>120</v>
      </c>
      <c r="R276" t="s">
        <v>34</v>
      </c>
      <c r="S276" t="s">
        <v>2701</v>
      </c>
      <c r="T276">
        <v>86</v>
      </c>
      <c r="U276" t="s">
        <v>2702</v>
      </c>
      <c r="V276" t="s">
        <v>35</v>
      </c>
      <c r="W276" t="s">
        <v>75</v>
      </c>
      <c r="Y276" t="s">
        <v>2703</v>
      </c>
      <c r="Z276" t="s">
        <v>204</v>
      </c>
    </row>
    <row r="277" spans="1:26" x14ac:dyDescent="0.2">
      <c r="A277">
        <v>273</v>
      </c>
      <c r="B277" t="s">
        <v>2704</v>
      </c>
      <c r="C277">
        <v>1993</v>
      </c>
      <c r="D277" t="s">
        <v>2705</v>
      </c>
      <c r="E277" t="s">
        <v>2706</v>
      </c>
      <c r="F277" t="s">
        <v>2707</v>
      </c>
      <c r="G277" t="s">
        <v>30</v>
      </c>
      <c r="H277" t="s">
        <v>2708</v>
      </c>
      <c r="I277" t="s">
        <v>2709</v>
      </c>
      <c r="J277" t="s">
        <v>216</v>
      </c>
      <c r="K277" t="s">
        <v>250</v>
      </c>
      <c r="L277" s="1">
        <v>46241</v>
      </c>
      <c r="M277" t="s">
        <v>757</v>
      </c>
      <c r="N277">
        <v>331366</v>
      </c>
      <c r="O277" t="s">
        <v>179</v>
      </c>
      <c r="P277" t="s">
        <v>204</v>
      </c>
      <c r="Q277">
        <v>58</v>
      </c>
      <c r="R277" t="s">
        <v>107</v>
      </c>
      <c r="S277" t="s">
        <v>2710</v>
      </c>
      <c r="T277">
        <v>78</v>
      </c>
      <c r="U277" t="s">
        <v>2711</v>
      </c>
      <c r="V277" t="s">
        <v>179</v>
      </c>
      <c r="W277" t="s">
        <v>617</v>
      </c>
      <c r="X277" t="s">
        <v>2712</v>
      </c>
      <c r="Y277" t="s">
        <v>2713</v>
      </c>
      <c r="Z277" t="s">
        <v>204</v>
      </c>
    </row>
    <row r="278" spans="1:26" x14ac:dyDescent="0.2">
      <c r="A278">
        <v>274</v>
      </c>
      <c r="B278" t="s">
        <v>2714</v>
      </c>
      <c r="C278">
        <v>2012</v>
      </c>
      <c r="D278" t="s">
        <v>2715</v>
      </c>
      <c r="E278" t="s">
        <v>2716</v>
      </c>
      <c r="F278" t="s">
        <v>2717</v>
      </c>
      <c r="G278" t="s">
        <v>30</v>
      </c>
      <c r="H278" t="s">
        <v>2718</v>
      </c>
      <c r="I278" t="s">
        <v>2719</v>
      </c>
      <c r="J278" t="s">
        <v>335</v>
      </c>
      <c r="K278" t="s">
        <v>250</v>
      </c>
      <c r="L278" s="1">
        <v>46061</v>
      </c>
      <c r="M278" t="s">
        <v>250</v>
      </c>
      <c r="N278">
        <v>74554</v>
      </c>
      <c r="O278" t="s">
        <v>484</v>
      </c>
      <c r="P278" t="s">
        <v>304</v>
      </c>
      <c r="Q278">
        <v>105</v>
      </c>
      <c r="R278" t="s">
        <v>157</v>
      </c>
      <c r="S278" t="s">
        <v>2720</v>
      </c>
      <c r="T278">
        <v>82</v>
      </c>
      <c r="U278" t="s">
        <v>2721</v>
      </c>
      <c r="V278" t="s">
        <v>179</v>
      </c>
      <c r="W278" t="s">
        <v>75</v>
      </c>
      <c r="X278" t="s">
        <v>2722</v>
      </c>
      <c r="Y278" t="s">
        <v>2723</v>
      </c>
      <c r="Z278" t="s">
        <v>204</v>
      </c>
    </row>
    <row r="279" spans="1:26" x14ac:dyDescent="0.2">
      <c r="A279">
        <v>275</v>
      </c>
      <c r="B279" t="s">
        <v>2724</v>
      </c>
      <c r="C279">
        <v>2019</v>
      </c>
      <c r="D279" t="s">
        <v>2725</v>
      </c>
      <c r="E279" t="s">
        <v>2726</v>
      </c>
      <c r="F279" t="s">
        <v>2727</v>
      </c>
      <c r="G279" t="s">
        <v>30</v>
      </c>
      <c r="H279" t="s">
        <v>2728</v>
      </c>
      <c r="K279" t="s">
        <v>250</v>
      </c>
      <c r="L279" s="1">
        <v>46272</v>
      </c>
      <c r="M279" t="s">
        <v>484</v>
      </c>
      <c r="N279">
        <v>812389</v>
      </c>
      <c r="O279" t="s">
        <v>250</v>
      </c>
      <c r="P279" t="s">
        <v>204</v>
      </c>
      <c r="Q279">
        <v>292</v>
      </c>
      <c r="R279" t="s">
        <v>157</v>
      </c>
      <c r="S279" t="s">
        <v>2729</v>
      </c>
      <c r="T279">
        <v>80</v>
      </c>
      <c r="U279" t="s">
        <v>2730</v>
      </c>
      <c r="V279" t="s">
        <v>54</v>
      </c>
      <c r="W279" t="s">
        <v>253</v>
      </c>
      <c r="X279" t="s">
        <v>2731</v>
      </c>
      <c r="Y279" t="s">
        <v>2732</v>
      </c>
      <c r="Z279" t="s">
        <v>204</v>
      </c>
    </row>
    <row r="280" spans="1:26" x14ac:dyDescent="0.2">
      <c r="A280">
        <v>276</v>
      </c>
      <c r="B280" t="s">
        <v>2733</v>
      </c>
      <c r="C280">
        <v>2001</v>
      </c>
      <c r="D280" t="s">
        <v>2734</v>
      </c>
      <c r="E280" t="s">
        <v>2735</v>
      </c>
      <c r="F280" t="s">
        <v>2736</v>
      </c>
      <c r="G280" t="s">
        <v>30</v>
      </c>
      <c r="H280" t="s">
        <v>2737</v>
      </c>
      <c r="I280" t="s">
        <v>2738</v>
      </c>
      <c r="J280" t="s">
        <v>2739</v>
      </c>
      <c r="K280" t="s">
        <v>204</v>
      </c>
      <c r="L280" t="s">
        <v>564</v>
      </c>
      <c r="M280" t="s">
        <v>304</v>
      </c>
      <c r="N280">
        <v>878010</v>
      </c>
      <c r="O280" t="s">
        <v>157</v>
      </c>
      <c r="P280" t="s">
        <v>304</v>
      </c>
      <c r="Q280">
        <v>129</v>
      </c>
      <c r="R280" t="s">
        <v>484</v>
      </c>
      <c r="S280" t="s">
        <v>2740</v>
      </c>
      <c r="T280">
        <v>80</v>
      </c>
      <c r="U280" t="s">
        <v>2741</v>
      </c>
      <c r="V280" t="s">
        <v>74</v>
      </c>
      <c r="W280" t="s">
        <v>2742</v>
      </c>
      <c r="X280" t="s">
        <v>2743</v>
      </c>
      <c r="Y280" t="s">
        <v>2744</v>
      </c>
      <c r="Z280" t="s">
        <v>204</v>
      </c>
    </row>
    <row r="281" spans="1:26" x14ac:dyDescent="0.2">
      <c r="A281">
        <v>277</v>
      </c>
      <c r="B281" t="s">
        <v>2745</v>
      </c>
      <c r="C281">
        <v>2020</v>
      </c>
      <c r="D281" t="s">
        <v>65</v>
      </c>
      <c r="E281" t="s">
        <v>2746</v>
      </c>
      <c r="F281" t="s">
        <v>2747</v>
      </c>
      <c r="G281" t="s">
        <v>30</v>
      </c>
      <c r="H281" t="s">
        <v>2748</v>
      </c>
      <c r="K281" t="s">
        <v>204</v>
      </c>
      <c r="L281" s="1">
        <v>46119</v>
      </c>
      <c r="M281" t="s">
        <v>1930</v>
      </c>
      <c r="N281">
        <v>103373</v>
      </c>
      <c r="O281" t="s">
        <v>97</v>
      </c>
      <c r="P281" t="s">
        <v>157</v>
      </c>
      <c r="Q281">
        <v>191</v>
      </c>
      <c r="S281" t="s">
        <v>2749</v>
      </c>
      <c r="T281">
        <v>82</v>
      </c>
      <c r="U281" t="s">
        <v>2750</v>
      </c>
      <c r="V281" t="s">
        <v>250</v>
      </c>
      <c r="Y281" t="s">
        <v>2751</v>
      </c>
      <c r="Z281" t="s">
        <v>204</v>
      </c>
    </row>
    <row r="282" spans="1:26" x14ac:dyDescent="0.2">
      <c r="A282">
        <v>278</v>
      </c>
      <c r="B282" t="s">
        <v>2752</v>
      </c>
      <c r="C282">
        <v>2014</v>
      </c>
      <c r="D282" t="s">
        <v>1161</v>
      </c>
      <c r="E282" t="s">
        <v>2753</v>
      </c>
      <c r="F282" t="s">
        <v>2754</v>
      </c>
      <c r="G282" t="s">
        <v>30</v>
      </c>
      <c r="H282" t="s">
        <v>2755</v>
      </c>
      <c r="I282" t="s">
        <v>2756</v>
      </c>
      <c r="J282" t="s">
        <v>2757</v>
      </c>
      <c r="K282" t="s">
        <v>204</v>
      </c>
      <c r="L282" t="s">
        <v>564</v>
      </c>
      <c r="M282" t="s">
        <v>304</v>
      </c>
      <c r="N282">
        <v>58960</v>
      </c>
      <c r="O282" t="s">
        <v>157</v>
      </c>
      <c r="P282" t="s">
        <v>271</v>
      </c>
      <c r="Q282">
        <v>101</v>
      </c>
      <c r="R282" t="s">
        <v>271</v>
      </c>
      <c r="S282" t="s">
        <v>2758</v>
      </c>
      <c r="T282">
        <v>80</v>
      </c>
      <c r="U282" t="s">
        <v>2759</v>
      </c>
      <c r="V282" t="s">
        <v>250</v>
      </c>
      <c r="W282" t="s">
        <v>75</v>
      </c>
      <c r="X282" t="s">
        <v>2760</v>
      </c>
      <c r="Y282" t="s">
        <v>2761</v>
      </c>
      <c r="Z282" t="s">
        <v>204</v>
      </c>
    </row>
    <row r="283" spans="1:26" x14ac:dyDescent="0.2">
      <c r="A283">
        <v>279</v>
      </c>
      <c r="B283" t="s">
        <v>2762</v>
      </c>
      <c r="C283">
        <v>2021</v>
      </c>
      <c r="D283" t="s">
        <v>2763</v>
      </c>
      <c r="E283" t="s">
        <v>2764</v>
      </c>
      <c r="F283" t="s">
        <v>2765</v>
      </c>
      <c r="G283" t="s">
        <v>2338</v>
      </c>
      <c r="H283" t="s">
        <v>2766</v>
      </c>
      <c r="K283" t="s">
        <v>204</v>
      </c>
      <c r="L283" s="1">
        <v>46272</v>
      </c>
      <c r="M283" t="s">
        <v>484</v>
      </c>
      <c r="N283">
        <v>20464</v>
      </c>
      <c r="O283" t="s">
        <v>74</v>
      </c>
      <c r="P283" t="s">
        <v>179</v>
      </c>
      <c r="Q283">
        <v>114</v>
      </c>
      <c r="S283" t="s">
        <v>2767</v>
      </c>
      <c r="T283">
        <v>84</v>
      </c>
      <c r="U283" t="s">
        <v>2768</v>
      </c>
      <c r="V283" t="s">
        <v>1930</v>
      </c>
      <c r="X283" t="s">
        <v>2769</v>
      </c>
      <c r="Y283" t="s">
        <v>2770</v>
      </c>
      <c r="Z283" t="s">
        <v>204</v>
      </c>
    </row>
    <row r="284" spans="1:26" x14ac:dyDescent="0.2">
      <c r="A284">
        <v>280</v>
      </c>
      <c r="B284" t="s">
        <v>2771</v>
      </c>
      <c r="C284">
        <v>2016</v>
      </c>
      <c r="D284" t="s">
        <v>2772</v>
      </c>
      <c r="E284" t="s">
        <v>2773</v>
      </c>
      <c r="F284" t="s">
        <v>2774</v>
      </c>
      <c r="G284" t="s">
        <v>30</v>
      </c>
      <c r="H284" t="s">
        <v>2775</v>
      </c>
      <c r="K284" t="s">
        <v>204</v>
      </c>
      <c r="L284" s="1">
        <v>46180</v>
      </c>
      <c r="M284" t="s">
        <v>1241</v>
      </c>
      <c r="N284">
        <v>263679</v>
      </c>
      <c r="O284" t="s">
        <v>157</v>
      </c>
      <c r="P284" t="s">
        <v>54</v>
      </c>
      <c r="Q284">
        <v>178</v>
      </c>
      <c r="R284" t="s">
        <v>271</v>
      </c>
      <c r="S284" t="s">
        <v>2776</v>
      </c>
      <c r="T284">
        <v>78</v>
      </c>
      <c r="U284" t="s">
        <v>2777</v>
      </c>
      <c r="V284" t="s">
        <v>54</v>
      </c>
      <c r="W284" t="s">
        <v>2778</v>
      </c>
      <c r="X284" t="s">
        <v>2779</v>
      </c>
      <c r="Y284" t="s">
        <v>2780</v>
      </c>
      <c r="Z284" t="s">
        <v>204</v>
      </c>
    </row>
    <row r="285" spans="1:26" x14ac:dyDescent="0.2">
      <c r="A285">
        <v>281</v>
      </c>
      <c r="B285" t="s">
        <v>2781</v>
      </c>
      <c r="C285">
        <v>2012</v>
      </c>
      <c r="D285" t="s">
        <v>126</v>
      </c>
      <c r="E285" t="s">
        <v>1458</v>
      </c>
      <c r="F285" t="s">
        <v>2782</v>
      </c>
      <c r="G285" t="s">
        <v>30</v>
      </c>
      <c r="H285" t="s">
        <v>2783</v>
      </c>
      <c r="I285" t="s">
        <v>2784</v>
      </c>
      <c r="J285" t="s">
        <v>614</v>
      </c>
      <c r="K285" t="s">
        <v>204</v>
      </c>
      <c r="L285" s="1">
        <v>46241</v>
      </c>
      <c r="M285" t="s">
        <v>757</v>
      </c>
      <c r="N285">
        <v>373550</v>
      </c>
      <c r="O285" t="s">
        <v>271</v>
      </c>
      <c r="P285" t="s">
        <v>204</v>
      </c>
      <c r="Q285">
        <v>193</v>
      </c>
      <c r="R285" t="s">
        <v>204</v>
      </c>
      <c r="S285" t="s">
        <v>2785</v>
      </c>
      <c r="T285">
        <v>80</v>
      </c>
      <c r="U285" t="s">
        <v>2786</v>
      </c>
      <c r="V285" t="s">
        <v>41</v>
      </c>
      <c r="W285" t="s">
        <v>75</v>
      </c>
      <c r="X285" t="s">
        <v>2787</v>
      </c>
      <c r="Y285" t="s">
        <v>2788</v>
      </c>
      <c r="Z285" t="s">
        <v>204</v>
      </c>
    </row>
    <row r="286" spans="1:26" x14ac:dyDescent="0.2">
      <c r="A286">
        <v>282</v>
      </c>
      <c r="B286" t="s">
        <v>2789</v>
      </c>
      <c r="C286">
        <v>1999</v>
      </c>
      <c r="D286" t="s">
        <v>2790</v>
      </c>
      <c r="E286" t="s">
        <v>2063</v>
      </c>
      <c r="F286" t="s">
        <v>2791</v>
      </c>
      <c r="G286" t="s">
        <v>30</v>
      </c>
      <c r="H286" t="s">
        <v>2792</v>
      </c>
      <c r="I286" t="s">
        <v>2793</v>
      </c>
      <c r="J286" t="s">
        <v>2330</v>
      </c>
      <c r="K286" t="s">
        <v>204</v>
      </c>
      <c r="L286" s="1">
        <v>46210</v>
      </c>
      <c r="M286" t="s">
        <v>1225</v>
      </c>
      <c r="N286">
        <v>361221</v>
      </c>
      <c r="O286" t="s">
        <v>41</v>
      </c>
      <c r="P286" t="s">
        <v>107</v>
      </c>
      <c r="Q286">
        <v>97</v>
      </c>
      <c r="R286" t="s">
        <v>204</v>
      </c>
      <c r="S286" t="s">
        <v>2794</v>
      </c>
      <c r="T286">
        <v>82</v>
      </c>
      <c r="U286" t="s">
        <v>2795</v>
      </c>
      <c r="V286" t="s">
        <v>228</v>
      </c>
      <c r="W286" t="s">
        <v>253</v>
      </c>
      <c r="X286" t="s">
        <v>2796</v>
      </c>
      <c r="Y286" t="s">
        <v>2797</v>
      </c>
      <c r="Z286" t="s">
        <v>204</v>
      </c>
    </row>
    <row r="287" spans="1:26" x14ac:dyDescent="0.2">
      <c r="A287">
        <v>283</v>
      </c>
      <c r="B287" t="s">
        <v>2798</v>
      </c>
      <c r="C287">
        <v>1998</v>
      </c>
      <c r="D287" t="s">
        <v>992</v>
      </c>
      <c r="E287" t="s">
        <v>1458</v>
      </c>
      <c r="F287" t="s">
        <v>2799</v>
      </c>
      <c r="G287" t="s">
        <v>30</v>
      </c>
      <c r="H287" t="s">
        <v>2800</v>
      </c>
      <c r="I287" t="s">
        <v>2801</v>
      </c>
      <c r="J287" t="s">
        <v>2264</v>
      </c>
      <c r="K287" t="s">
        <v>250</v>
      </c>
      <c r="L287" s="1">
        <v>46180</v>
      </c>
      <c r="M287" t="s">
        <v>1241</v>
      </c>
      <c r="N287">
        <v>202326</v>
      </c>
      <c r="O287" t="s">
        <v>179</v>
      </c>
      <c r="P287" t="s">
        <v>204</v>
      </c>
      <c r="Q287">
        <v>81</v>
      </c>
      <c r="R287" t="s">
        <v>54</v>
      </c>
      <c r="S287" t="s">
        <v>2802</v>
      </c>
      <c r="T287">
        <v>78</v>
      </c>
      <c r="U287" t="s">
        <v>2803</v>
      </c>
      <c r="V287" t="s">
        <v>179</v>
      </c>
      <c r="W287" t="s">
        <v>660</v>
      </c>
      <c r="X287" t="s">
        <v>2804</v>
      </c>
      <c r="Y287" t="s">
        <v>2805</v>
      </c>
      <c r="Z287" t="s">
        <v>2806</v>
      </c>
    </row>
    <row r="288" spans="1:26" x14ac:dyDescent="0.2">
      <c r="A288">
        <v>284</v>
      </c>
      <c r="B288" t="s">
        <v>2807</v>
      </c>
      <c r="C288">
        <v>2007</v>
      </c>
      <c r="D288" t="s">
        <v>1161</v>
      </c>
      <c r="E288" t="s">
        <v>2808</v>
      </c>
      <c r="F288" t="s">
        <v>2809</v>
      </c>
      <c r="G288" t="s">
        <v>30</v>
      </c>
      <c r="H288" t="s">
        <v>2810</v>
      </c>
      <c r="I288" t="s">
        <v>2811</v>
      </c>
      <c r="J288" t="s">
        <v>353</v>
      </c>
      <c r="K288" t="s">
        <v>228</v>
      </c>
      <c r="L288" t="s">
        <v>564</v>
      </c>
      <c r="M288" t="s">
        <v>304</v>
      </c>
      <c r="N288">
        <v>38102</v>
      </c>
      <c r="O288" t="s">
        <v>204</v>
      </c>
      <c r="P288" t="s">
        <v>250</v>
      </c>
      <c r="Q288">
        <v>67</v>
      </c>
      <c r="R288" t="s">
        <v>97</v>
      </c>
      <c r="S288" t="s">
        <v>2812</v>
      </c>
      <c r="T288">
        <v>80</v>
      </c>
      <c r="U288" t="s">
        <v>2813</v>
      </c>
      <c r="V288" t="s">
        <v>204</v>
      </c>
      <c r="W288" t="s">
        <v>75</v>
      </c>
      <c r="X288" t="s">
        <v>2814</v>
      </c>
      <c r="Y288" t="s">
        <v>2815</v>
      </c>
      <c r="Z288" t="s">
        <v>2806</v>
      </c>
    </row>
    <row r="289" spans="1:26" x14ac:dyDescent="0.2">
      <c r="A289">
        <v>285</v>
      </c>
      <c r="B289" t="s">
        <v>2816</v>
      </c>
      <c r="C289">
        <v>1979</v>
      </c>
      <c r="D289" t="s">
        <v>1684</v>
      </c>
      <c r="E289" t="s">
        <v>2817</v>
      </c>
      <c r="F289" t="s">
        <v>2818</v>
      </c>
      <c r="G289" t="s">
        <v>30</v>
      </c>
      <c r="H289" t="s">
        <v>2819</v>
      </c>
      <c r="J289" t="s">
        <v>216</v>
      </c>
      <c r="K289" t="s">
        <v>250</v>
      </c>
      <c r="L289" t="s">
        <v>564</v>
      </c>
      <c r="M289" t="s">
        <v>304</v>
      </c>
      <c r="N289">
        <v>427854</v>
      </c>
      <c r="O289" t="s">
        <v>1225</v>
      </c>
      <c r="P289" t="s">
        <v>250</v>
      </c>
      <c r="Q289">
        <v>51</v>
      </c>
      <c r="R289" t="s">
        <v>97</v>
      </c>
      <c r="S289" t="s">
        <v>2820</v>
      </c>
      <c r="T289">
        <v>80</v>
      </c>
      <c r="U289" t="s">
        <v>2821</v>
      </c>
      <c r="V289" t="s">
        <v>97</v>
      </c>
      <c r="W289" t="s">
        <v>2822</v>
      </c>
      <c r="X289" t="s">
        <v>2823</v>
      </c>
      <c r="Y289" t="s">
        <v>2824</v>
      </c>
      <c r="Z289" t="s">
        <v>2806</v>
      </c>
    </row>
    <row r="290" spans="1:26" x14ac:dyDescent="0.2">
      <c r="A290">
        <v>286</v>
      </c>
      <c r="B290" t="s">
        <v>2825</v>
      </c>
      <c r="C290">
        <v>2013</v>
      </c>
      <c r="D290" t="s">
        <v>2826</v>
      </c>
      <c r="E290" t="s">
        <v>141</v>
      </c>
      <c r="F290" t="s">
        <v>2827</v>
      </c>
      <c r="G290" t="s">
        <v>50</v>
      </c>
      <c r="H290" t="s">
        <v>2828</v>
      </c>
      <c r="I290" t="s">
        <v>2829</v>
      </c>
      <c r="J290" t="s">
        <v>145</v>
      </c>
      <c r="K290" t="s">
        <v>204</v>
      </c>
      <c r="L290" s="1">
        <v>46241</v>
      </c>
      <c r="M290" t="s">
        <v>757</v>
      </c>
      <c r="N290">
        <v>105398</v>
      </c>
      <c r="O290" t="s">
        <v>204</v>
      </c>
      <c r="P290" t="s">
        <v>228</v>
      </c>
      <c r="Q290">
        <v>127</v>
      </c>
      <c r="R290" t="s">
        <v>204</v>
      </c>
      <c r="S290" t="s">
        <v>2830</v>
      </c>
      <c r="T290">
        <v>82</v>
      </c>
      <c r="U290" t="s">
        <v>2831</v>
      </c>
      <c r="V290" t="s">
        <v>41</v>
      </c>
      <c r="W290" t="s">
        <v>2832</v>
      </c>
      <c r="X290" t="s">
        <v>2833</v>
      </c>
      <c r="Y290" t="s">
        <v>2834</v>
      </c>
      <c r="Z290" t="s">
        <v>2806</v>
      </c>
    </row>
    <row r="291" spans="1:26" x14ac:dyDescent="0.2">
      <c r="A291">
        <v>287</v>
      </c>
      <c r="B291" t="s">
        <v>2835</v>
      </c>
      <c r="C291">
        <v>1967</v>
      </c>
      <c r="D291" t="s">
        <v>593</v>
      </c>
      <c r="E291" t="s">
        <v>2836</v>
      </c>
      <c r="F291" t="s">
        <v>2837</v>
      </c>
      <c r="G291" t="s">
        <v>30</v>
      </c>
      <c r="H291" t="s">
        <v>2838</v>
      </c>
      <c r="I291" t="s">
        <v>2839</v>
      </c>
      <c r="J291" t="s">
        <v>2840</v>
      </c>
      <c r="K291" t="s">
        <v>250</v>
      </c>
      <c r="L291" s="1">
        <v>46210</v>
      </c>
      <c r="M291" t="s">
        <v>1225</v>
      </c>
      <c r="N291">
        <v>124188</v>
      </c>
      <c r="O291" t="s">
        <v>54</v>
      </c>
      <c r="P291" t="s">
        <v>107</v>
      </c>
      <c r="Q291">
        <v>51</v>
      </c>
      <c r="R291" t="s">
        <v>271</v>
      </c>
      <c r="S291" t="s">
        <v>2841</v>
      </c>
      <c r="T291">
        <v>78</v>
      </c>
      <c r="U291" t="s">
        <v>2842</v>
      </c>
      <c r="V291" t="s">
        <v>179</v>
      </c>
      <c r="W291" t="s">
        <v>135</v>
      </c>
      <c r="X291" t="s">
        <v>2843</v>
      </c>
      <c r="Y291" t="s">
        <v>2844</v>
      </c>
      <c r="Z291" t="s">
        <v>2806</v>
      </c>
    </row>
    <row r="292" spans="1:26" x14ac:dyDescent="0.2">
      <c r="A292">
        <v>288</v>
      </c>
      <c r="B292" t="s">
        <v>2845</v>
      </c>
      <c r="C292">
        <v>2016</v>
      </c>
      <c r="D292" t="s">
        <v>2846</v>
      </c>
      <c r="E292" t="s">
        <v>2847</v>
      </c>
      <c r="F292" t="s">
        <v>2848</v>
      </c>
      <c r="G292" t="s">
        <v>30</v>
      </c>
      <c r="H292" t="s">
        <v>2849</v>
      </c>
      <c r="K292" t="s">
        <v>250</v>
      </c>
      <c r="L292" s="1">
        <v>46272</v>
      </c>
      <c r="M292" t="s">
        <v>484</v>
      </c>
      <c r="N292">
        <v>104227</v>
      </c>
      <c r="O292" t="s">
        <v>484</v>
      </c>
      <c r="P292" t="s">
        <v>304</v>
      </c>
      <c r="Q292">
        <v>154</v>
      </c>
      <c r="R292" t="s">
        <v>157</v>
      </c>
      <c r="S292" t="s">
        <v>2850</v>
      </c>
      <c r="T292">
        <v>80</v>
      </c>
      <c r="U292" t="s">
        <v>2851</v>
      </c>
      <c r="V292" t="s">
        <v>74</v>
      </c>
      <c r="W292" t="s">
        <v>75</v>
      </c>
      <c r="X292" t="s">
        <v>2852</v>
      </c>
      <c r="Y292" t="s">
        <v>2853</v>
      </c>
      <c r="Z292" t="s">
        <v>2806</v>
      </c>
    </row>
    <row r="293" spans="1:26" x14ac:dyDescent="0.2">
      <c r="A293">
        <v>289</v>
      </c>
      <c r="B293" t="s">
        <v>2854</v>
      </c>
      <c r="C293">
        <v>2009</v>
      </c>
      <c r="D293" t="s">
        <v>65</v>
      </c>
      <c r="E293" t="s">
        <v>330</v>
      </c>
      <c r="F293" t="s">
        <v>2855</v>
      </c>
      <c r="G293" t="s">
        <v>332</v>
      </c>
      <c r="H293" t="s">
        <v>2856</v>
      </c>
      <c r="I293" t="s">
        <v>2857</v>
      </c>
      <c r="J293" t="s">
        <v>2858</v>
      </c>
      <c r="K293" t="s">
        <v>204</v>
      </c>
      <c r="L293" s="1">
        <v>46272</v>
      </c>
      <c r="M293" t="s">
        <v>484</v>
      </c>
      <c r="N293">
        <v>58907</v>
      </c>
      <c r="O293" t="s">
        <v>179</v>
      </c>
      <c r="P293" t="s">
        <v>204</v>
      </c>
      <c r="Q293">
        <v>59</v>
      </c>
      <c r="R293" t="s">
        <v>228</v>
      </c>
      <c r="S293" t="s">
        <v>2859</v>
      </c>
      <c r="T293">
        <v>82</v>
      </c>
      <c r="U293" t="s">
        <v>2860</v>
      </c>
      <c r="V293" t="s">
        <v>107</v>
      </c>
      <c r="W293" t="s">
        <v>325</v>
      </c>
      <c r="X293" t="s">
        <v>2861</v>
      </c>
      <c r="Y293" t="s">
        <v>2862</v>
      </c>
      <c r="Z293" t="s">
        <v>2806</v>
      </c>
    </row>
    <row r="294" spans="1:26" x14ac:dyDescent="0.2">
      <c r="A294">
        <v>290</v>
      </c>
      <c r="B294" t="s">
        <v>2863</v>
      </c>
      <c r="C294">
        <v>2004</v>
      </c>
      <c r="D294" t="s">
        <v>80</v>
      </c>
      <c r="E294" t="s">
        <v>2864</v>
      </c>
      <c r="F294" t="s">
        <v>2865</v>
      </c>
      <c r="G294" t="s">
        <v>30</v>
      </c>
      <c r="H294" t="s">
        <v>2866</v>
      </c>
      <c r="I294" t="s">
        <v>2867</v>
      </c>
      <c r="J294" t="s">
        <v>239</v>
      </c>
      <c r="K294" t="s">
        <v>250</v>
      </c>
      <c r="L294" s="1">
        <v>46030</v>
      </c>
      <c r="M294" t="s">
        <v>228</v>
      </c>
      <c r="N294">
        <v>382301</v>
      </c>
      <c r="O294" t="s">
        <v>484</v>
      </c>
      <c r="P294" t="s">
        <v>304</v>
      </c>
      <c r="Q294">
        <v>107</v>
      </c>
      <c r="R294" t="s">
        <v>97</v>
      </c>
      <c r="S294" t="s">
        <v>2868</v>
      </c>
      <c r="T294">
        <v>76</v>
      </c>
      <c r="U294" t="s">
        <v>2869</v>
      </c>
      <c r="V294" t="s">
        <v>35</v>
      </c>
      <c r="W294" t="s">
        <v>170</v>
      </c>
      <c r="X294" t="s">
        <v>2870</v>
      </c>
      <c r="Y294" t="s">
        <v>2871</v>
      </c>
      <c r="Z294" t="s">
        <v>2806</v>
      </c>
    </row>
    <row r="295" spans="1:26" x14ac:dyDescent="0.2">
      <c r="A295">
        <v>291</v>
      </c>
      <c r="B295" t="s">
        <v>2872</v>
      </c>
      <c r="C295">
        <v>2017</v>
      </c>
      <c r="D295" t="s">
        <v>65</v>
      </c>
      <c r="E295" t="s">
        <v>2873</v>
      </c>
      <c r="F295" t="s">
        <v>2874</v>
      </c>
      <c r="G295" t="s">
        <v>30</v>
      </c>
      <c r="H295" t="s">
        <v>2875</v>
      </c>
      <c r="K295" t="s">
        <v>271</v>
      </c>
      <c r="L295" s="1">
        <v>46180</v>
      </c>
      <c r="M295" t="s">
        <v>1241</v>
      </c>
      <c r="N295">
        <v>138468</v>
      </c>
      <c r="O295" t="s">
        <v>35</v>
      </c>
      <c r="P295" t="s">
        <v>97</v>
      </c>
      <c r="Q295">
        <v>201</v>
      </c>
      <c r="R295" t="s">
        <v>757</v>
      </c>
      <c r="S295" t="s">
        <v>2876</v>
      </c>
      <c r="T295">
        <v>82</v>
      </c>
      <c r="U295" t="s">
        <v>2877</v>
      </c>
      <c r="V295" t="s">
        <v>304</v>
      </c>
      <c r="W295" t="s">
        <v>75</v>
      </c>
      <c r="X295" t="s">
        <v>2878</v>
      </c>
      <c r="Y295" t="s">
        <v>2879</v>
      </c>
      <c r="Z295" t="s">
        <v>2806</v>
      </c>
    </row>
    <row r="296" spans="1:26" x14ac:dyDescent="0.2">
      <c r="A296">
        <v>292</v>
      </c>
      <c r="B296" t="s">
        <v>2880</v>
      </c>
      <c r="C296">
        <v>2017</v>
      </c>
      <c r="D296" t="s">
        <v>1412</v>
      </c>
      <c r="E296" t="s">
        <v>2881</v>
      </c>
      <c r="F296" t="s">
        <v>2882</v>
      </c>
      <c r="G296" t="s">
        <v>30</v>
      </c>
      <c r="H296" t="s">
        <v>2883</v>
      </c>
      <c r="K296" t="s">
        <v>250</v>
      </c>
      <c r="L296" s="1">
        <v>46180</v>
      </c>
      <c r="M296" t="s">
        <v>1241</v>
      </c>
      <c r="N296">
        <v>38105</v>
      </c>
      <c r="O296" t="s">
        <v>107</v>
      </c>
      <c r="P296" t="s">
        <v>228</v>
      </c>
      <c r="Q296">
        <v>79</v>
      </c>
      <c r="R296" t="s">
        <v>271</v>
      </c>
      <c r="S296" t="s">
        <v>2884</v>
      </c>
      <c r="T296">
        <v>80</v>
      </c>
      <c r="U296" t="s">
        <v>2885</v>
      </c>
      <c r="V296" t="s">
        <v>74</v>
      </c>
      <c r="W296" t="s">
        <v>2886</v>
      </c>
      <c r="X296" t="s">
        <v>2887</v>
      </c>
      <c r="Y296" t="s">
        <v>2888</v>
      </c>
      <c r="Z296" t="s">
        <v>2806</v>
      </c>
    </row>
    <row r="297" spans="1:26" x14ac:dyDescent="0.2">
      <c r="A297">
        <v>293</v>
      </c>
      <c r="B297" t="s">
        <v>2889</v>
      </c>
      <c r="C297">
        <v>2017</v>
      </c>
      <c r="D297" t="s">
        <v>2890</v>
      </c>
      <c r="E297" t="s">
        <v>2891</v>
      </c>
      <c r="F297" t="s">
        <v>2892</v>
      </c>
      <c r="G297" t="s">
        <v>30</v>
      </c>
      <c r="H297" t="s">
        <v>2893</v>
      </c>
      <c r="K297" t="s">
        <v>204</v>
      </c>
      <c r="L297" s="1">
        <v>46241</v>
      </c>
      <c r="M297" t="s">
        <v>757</v>
      </c>
      <c r="N297">
        <v>753306</v>
      </c>
      <c r="O297" t="s">
        <v>107</v>
      </c>
      <c r="P297" t="s">
        <v>271</v>
      </c>
      <c r="Q297">
        <v>250</v>
      </c>
      <c r="R297" t="s">
        <v>204</v>
      </c>
      <c r="S297" t="s">
        <v>2894</v>
      </c>
      <c r="T297">
        <v>82</v>
      </c>
      <c r="U297" t="s">
        <v>2895</v>
      </c>
      <c r="V297" t="s">
        <v>107</v>
      </c>
      <c r="W297" t="s">
        <v>2896</v>
      </c>
      <c r="X297" t="s">
        <v>2897</v>
      </c>
      <c r="Y297" t="s">
        <v>2898</v>
      </c>
      <c r="Z297" t="s">
        <v>2806</v>
      </c>
    </row>
    <row r="298" spans="1:26" x14ac:dyDescent="0.2">
      <c r="A298">
        <v>294</v>
      </c>
      <c r="B298" t="s">
        <v>2899</v>
      </c>
      <c r="C298">
        <v>2001</v>
      </c>
      <c r="D298" t="s">
        <v>234</v>
      </c>
      <c r="E298" t="s">
        <v>2900</v>
      </c>
      <c r="F298" t="s">
        <v>2901</v>
      </c>
      <c r="G298" t="s">
        <v>321</v>
      </c>
      <c r="H298" t="s">
        <v>2902</v>
      </c>
      <c r="I298" t="s">
        <v>2903</v>
      </c>
      <c r="J298" t="s">
        <v>118</v>
      </c>
      <c r="K298" t="s">
        <v>250</v>
      </c>
      <c r="L298" s="1">
        <v>46089</v>
      </c>
      <c r="M298" t="s">
        <v>204</v>
      </c>
      <c r="N298">
        <v>815152</v>
      </c>
      <c r="O298" t="s">
        <v>2051</v>
      </c>
      <c r="P298" t="s">
        <v>484</v>
      </c>
      <c r="Q298">
        <v>124</v>
      </c>
      <c r="R298" t="s">
        <v>74</v>
      </c>
      <c r="S298" t="s">
        <v>2904</v>
      </c>
      <c r="T298">
        <v>84</v>
      </c>
      <c r="U298" t="s">
        <v>2905</v>
      </c>
      <c r="V298" t="s">
        <v>41</v>
      </c>
      <c r="X298" t="s">
        <v>2906</v>
      </c>
      <c r="Y298" t="s">
        <v>2907</v>
      </c>
      <c r="Z298" t="s">
        <v>2806</v>
      </c>
    </row>
    <row r="299" spans="1:26" x14ac:dyDescent="0.2">
      <c r="A299">
        <v>295</v>
      </c>
      <c r="B299" t="s">
        <v>2908</v>
      </c>
      <c r="C299">
        <v>2019</v>
      </c>
      <c r="D299" t="s">
        <v>992</v>
      </c>
      <c r="E299" t="s">
        <v>2909</v>
      </c>
      <c r="F299" t="s">
        <v>2910</v>
      </c>
      <c r="G299" t="s">
        <v>30</v>
      </c>
      <c r="H299" t="s">
        <v>2911</v>
      </c>
      <c r="K299" t="s">
        <v>204</v>
      </c>
      <c r="L299" s="1">
        <v>46149</v>
      </c>
      <c r="M299" t="s">
        <v>1270</v>
      </c>
      <c r="N299">
        <v>73622</v>
      </c>
      <c r="O299" t="s">
        <v>97</v>
      </c>
      <c r="P299" t="s">
        <v>54</v>
      </c>
      <c r="Q299">
        <v>190</v>
      </c>
      <c r="R299" t="s">
        <v>204</v>
      </c>
      <c r="S299" t="s">
        <v>2912</v>
      </c>
      <c r="T299">
        <v>82</v>
      </c>
      <c r="U299" t="s">
        <v>2913</v>
      </c>
      <c r="V299" t="s">
        <v>250</v>
      </c>
      <c r="W299" t="s">
        <v>75</v>
      </c>
      <c r="X299" t="s">
        <v>2914</v>
      </c>
      <c r="Y299" t="s">
        <v>2915</v>
      </c>
      <c r="Z299" t="s">
        <v>2806</v>
      </c>
    </row>
    <row r="300" spans="1:26" x14ac:dyDescent="0.2">
      <c r="A300">
        <v>296</v>
      </c>
      <c r="B300" t="s">
        <v>2916</v>
      </c>
      <c r="C300">
        <v>2020</v>
      </c>
      <c r="D300" t="s">
        <v>2917</v>
      </c>
      <c r="E300" t="s">
        <v>1394</v>
      </c>
      <c r="F300" t="s">
        <v>2918</v>
      </c>
      <c r="G300" t="s">
        <v>30</v>
      </c>
      <c r="H300" t="s">
        <v>2919</v>
      </c>
      <c r="K300" t="s">
        <v>250</v>
      </c>
      <c r="L300" t="s">
        <v>564</v>
      </c>
      <c r="M300" t="s">
        <v>304</v>
      </c>
      <c r="N300">
        <v>405577</v>
      </c>
      <c r="O300" t="s">
        <v>204</v>
      </c>
      <c r="P300" t="s">
        <v>204</v>
      </c>
      <c r="Q300">
        <v>148</v>
      </c>
      <c r="R300" t="s">
        <v>54</v>
      </c>
      <c r="S300" t="s">
        <v>2920</v>
      </c>
      <c r="T300">
        <v>78</v>
      </c>
      <c r="U300" t="s">
        <v>2921</v>
      </c>
      <c r="V300" t="s">
        <v>179</v>
      </c>
      <c r="W300" t="s">
        <v>935</v>
      </c>
      <c r="X300" t="s">
        <v>2922</v>
      </c>
      <c r="Y300" t="s">
        <v>2923</v>
      </c>
      <c r="Z300" t="s">
        <v>2806</v>
      </c>
    </row>
    <row r="301" spans="1:26" x14ac:dyDescent="0.2">
      <c r="A301">
        <v>297</v>
      </c>
      <c r="B301" t="s">
        <v>2924</v>
      </c>
      <c r="C301">
        <v>1952</v>
      </c>
      <c r="D301" t="s">
        <v>2925</v>
      </c>
      <c r="E301" t="s">
        <v>2926</v>
      </c>
      <c r="F301" t="s">
        <v>2927</v>
      </c>
      <c r="G301" t="s">
        <v>30</v>
      </c>
      <c r="H301" t="s">
        <v>2928</v>
      </c>
      <c r="I301" t="s">
        <v>2929</v>
      </c>
      <c r="J301" t="s">
        <v>167</v>
      </c>
      <c r="K301" t="s">
        <v>250</v>
      </c>
      <c r="L301" s="1">
        <v>46272</v>
      </c>
      <c r="M301" t="s">
        <v>484</v>
      </c>
      <c r="N301">
        <v>113131</v>
      </c>
      <c r="O301" t="s">
        <v>97</v>
      </c>
      <c r="P301" t="s">
        <v>157</v>
      </c>
      <c r="Q301">
        <v>63</v>
      </c>
      <c r="R301" t="s">
        <v>54</v>
      </c>
      <c r="S301" t="s">
        <v>2930</v>
      </c>
      <c r="T301">
        <v>80</v>
      </c>
      <c r="U301" t="s">
        <v>2931</v>
      </c>
      <c r="V301" t="s">
        <v>1270</v>
      </c>
      <c r="W301" t="s">
        <v>75</v>
      </c>
      <c r="X301" t="s">
        <v>2932</v>
      </c>
      <c r="Y301" t="s">
        <v>2933</v>
      </c>
      <c r="Z301" t="s">
        <v>2806</v>
      </c>
    </row>
    <row r="302" spans="1:26" x14ac:dyDescent="0.2">
      <c r="A302">
        <v>298</v>
      </c>
      <c r="B302" t="s">
        <v>2934</v>
      </c>
      <c r="C302">
        <v>2009</v>
      </c>
      <c r="D302" t="s">
        <v>2935</v>
      </c>
      <c r="E302" t="s">
        <v>1458</v>
      </c>
      <c r="F302" t="s">
        <v>2936</v>
      </c>
      <c r="G302" t="s">
        <v>30</v>
      </c>
      <c r="H302" t="s">
        <v>2937</v>
      </c>
      <c r="I302" t="s">
        <v>2938</v>
      </c>
      <c r="J302" t="s">
        <v>312</v>
      </c>
      <c r="K302" t="s">
        <v>204</v>
      </c>
      <c r="L302" s="1">
        <v>46272</v>
      </c>
      <c r="M302" t="s">
        <v>484</v>
      </c>
      <c r="N302">
        <v>283948</v>
      </c>
      <c r="O302" t="s">
        <v>204</v>
      </c>
      <c r="P302" t="s">
        <v>304</v>
      </c>
      <c r="Q302">
        <v>170</v>
      </c>
      <c r="R302" t="s">
        <v>204</v>
      </c>
      <c r="S302" t="s">
        <v>2939</v>
      </c>
      <c r="T302">
        <v>86</v>
      </c>
      <c r="U302" t="s">
        <v>2940</v>
      </c>
      <c r="V302" t="s">
        <v>54</v>
      </c>
      <c r="W302" t="s">
        <v>444</v>
      </c>
      <c r="X302" t="s">
        <v>2941</v>
      </c>
      <c r="Y302" t="s">
        <v>2942</v>
      </c>
      <c r="Z302" t="s">
        <v>2806</v>
      </c>
    </row>
    <row r="303" spans="1:26" x14ac:dyDescent="0.2">
      <c r="A303">
        <v>299</v>
      </c>
      <c r="B303" t="s">
        <v>2943</v>
      </c>
      <c r="C303">
        <v>2015</v>
      </c>
      <c r="D303" t="s">
        <v>65</v>
      </c>
      <c r="E303" t="s">
        <v>2944</v>
      </c>
      <c r="F303" t="s">
        <v>2945</v>
      </c>
      <c r="G303" t="s">
        <v>856</v>
      </c>
      <c r="H303" t="s">
        <v>2946</v>
      </c>
      <c r="I303" t="s">
        <v>2947</v>
      </c>
      <c r="J303" t="s">
        <v>2948</v>
      </c>
      <c r="K303" t="s">
        <v>250</v>
      </c>
      <c r="L303" s="1">
        <v>46241</v>
      </c>
      <c r="M303" t="s">
        <v>757</v>
      </c>
      <c r="N303">
        <v>18170</v>
      </c>
      <c r="O303" t="s">
        <v>250</v>
      </c>
      <c r="P303" t="s">
        <v>228</v>
      </c>
      <c r="Q303">
        <v>64</v>
      </c>
      <c r="R303" t="s">
        <v>179</v>
      </c>
      <c r="S303" t="s">
        <v>2949</v>
      </c>
      <c r="T303">
        <v>84</v>
      </c>
      <c r="U303" t="s">
        <v>2950</v>
      </c>
      <c r="V303" t="s">
        <v>107</v>
      </c>
      <c r="W303" t="s">
        <v>1186</v>
      </c>
      <c r="X303" t="s">
        <v>2951</v>
      </c>
      <c r="Y303" t="s">
        <v>2952</v>
      </c>
      <c r="Z303" t="s">
        <v>2806</v>
      </c>
    </row>
    <row r="304" spans="1:26" x14ac:dyDescent="0.2">
      <c r="A304">
        <v>300</v>
      </c>
      <c r="B304" t="s">
        <v>2953</v>
      </c>
      <c r="C304">
        <v>2023</v>
      </c>
      <c r="D304" t="s">
        <v>2954</v>
      </c>
      <c r="E304" t="s">
        <v>2955</v>
      </c>
      <c r="F304" t="s">
        <v>2956</v>
      </c>
      <c r="G304" t="s">
        <v>50</v>
      </c>
      <c r="H304" t="s">
        <v>2957</v>
      </c>
      <c r="K304" t="s">
        <v>204</v>
      </c>
      <c r="L304" s="1">
        <v>46210</v>
      </c>
      <c r="M304" t="s">
        <v>1225</v>
      </c>
      <c r="N304">
        <v>166961</v>
      </c>
      <c r="O304" t="s">
        <v>228</v>
      </c>
      <c r="P304" t="s">
        <v>271</v>
      </c>
      <c r="Q304">
        <v>132</v>
      </c>
      <c r="S304" t="s">
        <v>2958</v>
      </c>
      <c r="T304">
        <v>82</v>
      </c>
      <c r="U304" t="s">
        <v>2959</v>
      </c>
      <c r="V304" t="s">
        <v>41</v>
      </c>
      <c r="W304" t="s">
        <v>885</v>
      </c>
      <c r="X304" t="s">
        <v>2960</v>
      </c>
      <c r="Y304" t="s">
        <v>2961</v>
      </c>
      <c r="Z304" t="s">
        <v>2962</v>
      </c>
    </row>
    <row r="305" spans="1:26" x14ac:dyDescent="0.2">
      <c r="A305">
        <v>301</v>
      </c>
      <c r="B305" t="s">
        <v>2963</v>
      </c>
      <c r="C305">
        <v>1922</v>
      </c>
      <c r="D305" t="s">
        <v>2964</v>
      </c>
      <c r="E305" t="s">
        <v>2965</v>
      </c>
      <c r="F305" t="s">
        <v>2966</v>
      </c>
      <c r="G305" t="s">
        <v>374</v>
      </c>
      <c r="H305" t="s">
        <v>2967</v>
      </c>
      <c r="I305" t="s">
        <v>2499</v>
      </c>
      <c r="J305" t="s">
        <v>2968</v>
      </c>
      <c r="K305" t="s">
        <v>228</v>
      </c>
      <c r="L305" s="1">
        <v>46241</v>
      </c>
      <c r="M305" t="s">
        <v>757</v>
      </c>
      <c r="N305">
        <v>118037</v>
      </c>
      <c r="P305" t="s">
        <v>74</v>
      </c>
      <c r="Q305">
        <v>76</v>
      </c>
      <c r="R305" t="s">
        <v>271</v>
      </c>
      <c r="S305" t="s">
        <v>2969</v>
      </c>
      <c r="T305">
        <v>76</v>
      </c>
      <c r="U305" t="s">
        <v>2970</v>
      </c>
      <c r="V305" t="s">
        <v>107</v>
      </c>
      <c r="W305" t="s">
        <v>75</v>
      </c>
      <c r="X305" t="s">
        <v>2971</v>
      </c>
      <c r="Y305" t="s">
        <v>2972</v>
      </c>
      <c r="Z305" t="s">
        <v>2962</v>
      </c>
    </row>
    <row r="306" spans="1:26" x14ac:dyDescent="0.2">
      <c r="A306">
        <v>302</v>
      </c>
      <c r="B306" t="s">
        <v>2973</v>
      </c>
      <c r="C306">
        <v>2023</v>
      </c>
      <c r="D306" t="s">
        <v>2974</v>
      </c>
      <c r="E306" t="s">
        <v>2975</v>
      </c>
      <c r="F306" t="s">
        <v>2976</v>
      </c>
      <c r="G306" t="s">
        <v>189</v>
      </c>
      <c r="H306" t="s">
        <v>2977</v>
      </c>
      <c r="K306" t="s">
        <v>250</v>
      </c>
      <c r="L306" s="1">
        <v>46088</v>
      </c>
      <c r="M306" t="s">
        <v>2978</v>
      </c>
      <c r="N306">
        <v>16724</v>
      </c>
      <c r="O306" t="s">
        <v>74</v>
      </c>
      <c r="P306" t="s">
        <v>271</v>
      </c>
      <c r="Q306">
        <v>85</v>
      </c>
      <c r="S306" t="s">
        <v>2979</v>
      </c>
      <c r="T306">
        <v>82</v>
      </c>
      <c r="U306" t="s">
        <v>2980</v>
      </c>
      <c r="V306" t="s">
        <v>271</v>
      </c>
      <c r="W306" t="s">
        <v>2397</v>
      </c>
      <c r="X306" t="s">
        <v>2981</v>
      </c>
      <c r="Y306" t="s">
        <v>2982</v>
      </c>
      <c r="Z306" t="s">
        <v>2962</v>
      </c>
    </row>
    <row r="307" spans="1:26" x14ac:dyDescent="0.2">
      <c r="A307">
        <v>303</v>
      </c>
      <c r="B307" t="s">
        <v>2983</v>
      </c>
      <c r="C307">
        <v>2021</v>
      </c>
      <c r="D307" t="s">
        <v>2139</v>
      </c>
      <c r="E307" t="s">
        <v>2984</v>
      </c>
      <c r="F307" t="s">
        <v>2985</v>
      </c>
      <c r="G307" t="s">
        <v>2986</v>
      </c>
      <c r="H307" t="s">
        <v>2987</v>
      </c>
      <c r="K307" t="s">
        <v>204</v>
      </c>
      <c r="L307" s="1">
        <v>46210</v>
      </c>
      <c r="M307" t="s">
        <v>1225</v>
      </c>
      <c r="N307">
        <v>109990</v>
      </c>
      <c r="O307" t="s">
        <v>74</v>
      </c>
      <c r="P307" t="s">
        <v>157</v>
      </c>
      <c r="Q307">
        <v>153</v>
      </c>
      <c r="S307" t="s">
        <v>2988</v>
      </c>
      <c r="T307">
        <v>82</v>
      </c>
      <c r="U307" t="s">
        <v>2989</v>
      </c>
      <c r="V307" t="s">
        <v>1241</v>
      </c>
      <c r="X307" t="s">
        <v>2990</v>
      </c>
      <c r="Y307" t="s">
        <v>2991</v>
      </c>
      <c r="Z307" t="s">
        <v>2962</v>
      </c>
    </row>
    <row r="308" spans="1:26" x14ac:dyDescent="0.2">
      <c r="A308">
        <v>304</v>
      </c>
      <c r="B308" t="s">
        <v>2992</v>
      </c>
      <c r="C308">
        <v>2015</v>
      </c>
      <c r="D308" t="s">
        <v>1412</v>
      </c>
      <c r="E308" t="s">
        <v>2993</v>
      </c>
      <c r="F308" t="s">
        <v>2994</v>
      </c>
      <c r="G308" t="s">
        <v>30</v>
      </c>
      <c r="H308" t="s">
        <v>2995</v>
      </c>
      <c r="K308" t="s">
        <v>271</v>
      </c>
      <c r="L308" s="1">
        <v>46088</v>
      </c>
      <c r="M308" t="s">
        <v>2978</v>
      </c>
      <c r="N308">
        <v>148047</v>
      </c>
      <c r="O308" t="s">
        <v>57</v>
      </c>
      <c r="P308" t="s">
        <v>157</v>
      </c>
      <c r="Q308">
        <v>210</v>
      </c>
      <c r="R308" t="s">
        <v>1930</v>
      </c>
      <c r="S308" t="s">
        <v>2996</v>
      </c>
      <c r="T308">
        <v>80</v>
      </c>
      <c r="U308" t="s">
        <v>2997</v>
      </c>
      <c r="V308" t="s">
        <v>179</v>
      </c>
      <c r="W308" t="s">
        <v>75</v>
      </c>
      <c r="X308" t="s">
        <v>2998</v>
      </c>
      <c r="Y308" t="s">
        <v>2999</v>
      </c>
      <c r="Z308" t="s">
        <v>3000</v>
      </c>
    </row>
    <row r="309" spans="1:26" x14ac:dyDescent="0.2">
      <c r="A309">
        <v>305</v>
      </c>
      <c r="B309" t="s">
        <v>3001</v>
      </c>
      <c r="C309">
        <v>2016</v>
      </c>
      <c r="D309" t="s">
        <v>3002</v>
      </c>
      <c r="E309" t="s">
        <v>3003</v>
      </c>
      <c r="F309" t="s">
        <v>3004</v>
      </c>
      <c r="G309" t="s">
        <v>30</v>
      </c>
      <c r="H309" t="s">
        <v>3005</v>
      </c>
      <c r="K309" t="s">
        <v>250</v>
      </c>
      <c r="L309" s="1">
        <v>46241</v>
      </c>
      <c r="M309" t="s">
        <v>757</v>
      </c>
      <c r="N309">
        <v>147301</v>
      </c>
      <c r="O309" t="s">
        <v>228</v>
      </c>
      <c r="P309" t="s">
        <v>304</v>
      </c>
      <c r="Q309">
        <v>131</v>
      </c>
      <c r="R309" t="s">
        <v>179</v>
      </c>
      <c r="S309" t="s">
        <v>3006</v>
      </c>
      <c r="T309">
        <v>82</v>
      </c>
      <c r="U309" t="s">
        <v>3007</v>
      </c>
      <c r="V309" t="s">
        <v>157</v>
      </c>
      <c r="W309" t="s">
        <v>253</v>
      </c>
      <c r="X309" t="s">
        <v>3008</v>
      </c>
      <c r="Y309" t="s">
        <v>3009</v>
      </c>
      <c r="Z309" t="s">
        <v>3000</v>
      </c>
    </row>
    <row r="310" spans="1:26" x14ac:dyDescent="0.2">
      <c r="A310">
        <v>306</v>
      </c>
      <c r="B310" t="s">
        <v>3010</v>
      </c>
      <c r="C310">
        <v>2006</v>
      </c>
      <c r="D310" t="s">
        <v>3011</v>
      </c>
      <c r="E310" t="s">
        <v>2847</v>
      </c>
      <c r="F310" t="s">
        <v>3012</v>
      </c>
      <c r="G310" t="s">
        <v>30</v>
      </c>
      <c r="H310" t="s">
        <v>3013</v>
      </c>
      <c r="I310" t="s">
        <v>3014</v>
      </c>
      <c r="J310" t="s">
        <v>1462</v>
      </c>
      <c r="K310" t="s">
        <v>250</v>
      </c>
      <c r="L310" s="1">
        <v>46241</v>
      </c>
      <c r="M310" t="s">
        <v>757</v>
      </c>
      <c r="N310">
        <v>123059</v>
      </c>
      <c r="O310" t="s">
        <v>41</v>
      </c>
      <c r="P310" t="s">
        <v>107</v>
      </c>
      <c r="Q310">
        <v>109</v>
      </c>
      <c r="R310" t="s">
        <v>54</v>
      </c>
      <c r="S310" t="s">
        <v>3015</v>
      </c>
      <c r="T310">
        <v>78</v>
      </c>
      <c r="U310" t="s">
        <v>3016</v>
      </c>
      <c r="V310" t="s">
        <v>484</v>
      </c>
      <c r="W310" t="s">
        <v>3017</v>
      </c>
      <c r="X310" t="s">
        <v>3018</v>
      </c>
      <c r="Y310" t="s">
        <v>3019</v>
      </c>
      <c r="Z310" t="s">
        <v>3000</v>
      </c>
    </row>
    <row r="311" spans="1:26" x14ac:dyDescent="0.2">
      <c r="A311">
        <v>307</v>
      </c>
      <c r="B311" t="s">
        <v>3020</v>
      </c>
      <c r="C311">
        <v>2001</v>
      </c>
      <c r="D311" t="s">
        <v>3021</v>
      </c>
      <c r="E311" t="s">
        <v>3022</v>
      </c>
      <c r="F311" t="s">
        <v>3023</v>
      </c>
      <c r="G311" t="s">
        <v>30</v>
      </c>
      <c r="H311" t="s">
        <v>3024</v>
      </c>
      <c r="I311" t="s">
        <v>3025</v>
      </c>
      <c r="J311" t="s">
        <v>3026</v>
      </c>
      <c r="K311" t="s">
        <v>250</v>
      </c>
      <c r="L311" s="1">
        <v>46272</v>
      </c>
      <c r="M311" t="s">
        <v>484</v>
      </c>
      <c r="N311">
        <v>767731</v>
      </c>
      <c r="O311" t="s">
        <v>271</v>
      </c>
      <c r="P311" t="s">
        <v>304</v>
      </c>
      <c r="Q311">
        <v>122</v>
      </c>
      <c r="R311" t="s">
        <v>54</v>
      </c>
      <c r="S311" t="s">
        <v>3027</v>
      </c>
      <c r="T311">
        <v>82</v>
      </c>
      <c r="U311" t="s">
        <v>3028</v>
      </c>
      <c r="V311" t="s">
        <v>107</v>
      </c>
      <c r="W311" t="s">
        <v>3029</v>
      </c>
      <c r="X311" t="s">
        <v>3030</v>
      </c>
      <c r="Y311" t="s">
        <v>3031</v>
      </c>
      <c r="Z311" t="s">
        <v>3000</v>
      </c>
    </row>
    <row r="312" spans="1:26" x14ac:dyDescent="0.2">
      <c r="A312">
        <v>308</v>
      </c>
      <c r="B312" t="s">
        <v>3032</v>
      </c>
      <c r="C312">
        <v>2008</v>
      </c>
      <c r="D312" t="s">
        <v>211</v>
      </c>
      <c r="E312" t="s">
        <v>3033</v>
      </c>
      <c r="F312" t="s">
        <v>3034</v>
      </c>
      <c r="G312" t="s">
        <v>30</v>
      </c>
      <c r="H312" t="s">
        <v>3035</v>
      </c>
      <c r="I312" t="s">
        <v>3036</v>
      </c>
      <c r="J312" t="s">
        <v>2011</v>
      </c>
      <c r="K312" t="s">
        <v>204</v>
      </c>
      <c r="L312" s="1">
        <v>46272</v>
      </c>
      <c r="M312" t="s">
        <v>484</v>
      </c>
      <c r="N312">
        <v>324931</v>
      </c>
      <c r="O312" t="s">
        <v>304</v>
      </c>
      <c r="P312" t="s">
        <v>271</v>
      </c>
      <c r="Q312">
        <v>153</v>
      </c>
      <c r="R312" t="s">
        <v>271</v>
      </c>
      <c r="S312" t="s">
        <v>3037</v>
      </c>
      <c r="T312">
        <v>82</v>
      </c>
      <c r="U312" t="s">
        <v>3038</v>
      </c>
      <c r="V312" t="s">
        <v>179</v>
      </c>
      <c r="W312" t="s">
        <v>3039</v>
      </c>
      <c r="X312" t="s">
        <v>3040</v>
      </c>
      <c r="Y312" t="s">
        <v>3041</v>
      </c>
      <c r="Z312" t="s">
        <v>3000</v>
      </c>
    </row>
    <row r="313" spans="1:26" x14ac:dyDescent="0.2">
      <c r="A313">
        <v>309</v>
      </c>
      <c r="B313" t="s">
        <v>3042</v>
      </c>
      <c r="C313">
        <v>2011</v>
      </c>
      <c r="D313" t="s">
        <v>3043</v>
      </c>
      <c r="E313" t="s">
        <v>3044</v>
      </c>
      <c r="F313" t="s">
        <v>3045</v>
      </c>
      <c r="G313" t="s">
        <v>321</v>
      </c>
      <c r="H313" t="s">
        <v>3046</v>
      </c>
      <c r="I313" t="s">
        <v>3047</v>
      </c>
      <c r="J313" t="s">
        <v>1624</v>
      </c>
      <c r="K313" t="s">
        <v>250</v>
      </c>
      <c r="L313" s="1">
        <v>46241</v>
      </c>
      <c r="M313" t="s">
        <v>757</v>
      </c>
      <c r="N313">
        <v>251867</v>
      </c>
      <c r="O313" t="s">
        <v>97</v>
      </c>
      <c r="P313" t="s">
        <v>157</v>
      </c>
      <c r="Q313">
        <v>243</v>
      </c>
      <c r="R313" t="s">
        <v>271</v>
      </c>
      <c r="S313" t="s">
        <v>3048</v>
      </c>
      <c r="T313">
        <v>76</v>
      </c>
      <c r="U313" t="s">
        <v>3049</v>
      </c>
      <c r="V313" t="s">
        <v>228</v>
      </c>
      <c r="W313" t="s">
        <v>617</v>
      </c>
      <c r="X313" t="s">
        <v>3050</v>
      </c>
      <c r="Y313" t="s">
        <v>3051</v>
      </c>
      <c r="Z313" t="s">
        <v>3000</v>
      </c>
    </row>
    <row r="314" spans="1:26" x14ac:dyDescent="0.2">
      <c r="A314">
        <v>310</v>
      </c>
      <c r="B314" t="s">
        <v>3052</v>
      </c>
      <c r="C314">
        <v>1939</v>
      </c>
      <c r="D314" t="s">
        <v>992</v>
      </c>
      <c r="E314" t="s">
        <v>383</v>
      </c>
      <c r="F314" t="s">
        <v>3053</v>
      </c>
      <c r="G314" t="s">
        <v>30</v>
      </c>
      <c r="H314" t="s">
        <v>3054</v>
      </c>
      <c r="I314" t="s">
        <v>3055</v>
      </c>
      <c r="J314" t="s">
        <v>3056</v>
      </c>
      <c r="K314" t="s">
        <v>250</v>
      </c>
      <c r="L314" s="1">
        <v>46030</v>
      </c>
      <c r="M314" t="s">
        <v>228</v>
      </c>
      <c r="N314">
        <v>125223</v>
      </c>
      <c r="O314" t="s">
        <v>2978</v>
      </c>
      <c r="P314" t="s">
        <v>228</v>
      </c>
      <c r="Q314">
        <v>61</v>
      </c>
      <c r="R314" t="s">
        <v>41</v>
      </c>
      <c r="S314" t="s">
        <v>3057</v>
      </c>
      <c r="T314">
        <v>82</v>
      </c>
      <c r="U314" t="s">
        <v>3058</v>
      </c>
      <c r="V314" t="s">
        <v>97</v>
      </c>
      <c r="W314" t="s">
        <v>75</v>
      </c>
      <c r="X314" t="s">
        <v>3059</v>
      </c>
      <c r="Y314" t="s">
        <v>3060</v>
      </c>
      <c r="Z314" t="s">
        <v>3000</v>
      </c>
    </row>
    <row r="315" spans="1:26" x14ac:dyDescent="0.2">
      <c r="A315">
        <v>311</v>
      </c>
      <c r="B315" t="s">
        <v>3061</v>
      </c>
      <c r="C315">
        <v>2002</v>
      </c>
      <c r="D315" t="s">
        <v>3062</v>
      </c>
      <c r="E315" t="s">
        <v>3063</v>
      </c>
      <c r="F315" t="s">
        <v>3064</v>
      </c>
      <c r="G315" t="s">
        <v>1221</v>
      </c>
      <c r="H315" t="s">
        <v>3065</v>
      </c>
      <c r="K315" t="s">
        <v>250</v>
      </c>
      <c r="L315" s="1">
        <v>46272</v>
      </c>
      <c r="M315" t="s">
        <v>484</v>
      </c>
      <c r="N315">
        <v>190396</v>
      </c>
      <c r="O315" t="s">
        <v>107</v>
      </c>
      <c r="P315" t="s">
        <v>204</v>
      </c>
      <c r="Q315">
        <v>114</v>
      </c>
      <c r="R315" t="s">
        <v>271</v>
      </c>
      <c r="S315" t="s">
        <v>3066</v>
      </c>
      <c r="T315">
        <v>80</v>
      </c>
      <c r="U315" t="s">
        <v>3067</v>
      </c>
      <c r="V315" t="s">
        <v>107</v>
      </c>
      <c r="W315" t="s">
        <v>75</v>
      </c>
      <c r="X315" t="s">
        <v>3068</v>
      </c>
      <c r="Y315" t="s">
        <v>3069</v>
      </c>
      <c r="Z315" t="s">
        <v>3000</v>
      </c>
    </row>
    <row r="316" spans="1:26" x14ac:dyDescent="0.2">
      <c r="A316">
        <v>312</v>
      </c>
      <c r="B316" t="s">
        <v>3070</v>
      </c>
      <c r="C316">
        <v>1980</v>
      </c>
      <c r="D316" t="s">
        <v>1731</v>
      </c>
      <c r="E316" t="s">
        <v>199</v>
      </c>
      <c r="F316" t="s">
        <v>3071</v>
      </c>
      <c r="G316" t="s">
        <v>30</v>
      </c>
      <c r="H316" t="s">
        <v>3072</v>
      </c>
      <c r="I316" t="s">
        <v>3073</v>
      </c>
      <c r="J316" t="s">
        <v>216</v>
      </c>
      <c r="K316" t="s">
        <v>250</v>
      </c>
      <c r="L316" s="1">
        <v>46120</v>
      </c>
      <c r="M316" t="s">
        <v>271</v>
      </c>
      <c r="N316">
        <v>1159459</v>
      </c>
      <c r="O316" t="s">
        <v>3074</v>
      </c>
      <c r="P316" t="s">
        <v>250</v>
      </c>
      <c r="Q316">
        <v>121</v>
      </c>
      <c r="R316" t="s">
        <v>41</v>
      </c>
      <c r="S316" t="s">
        <v>3075</v>
      </c>
      <c r="T316">
        <v>84</v>
      </c>
      <c r="U316" t="s">
        <v>3076</v>
      </c>
      <c r="V316" t="s">
        <v>157</v>
      </c>
      <c r="W316" t="s">
        <v>135</v>
      </c>
      <c r="X316" t="s">
        <v>3077</v>
      </c>
      <c r="Y316" t="s">
        <v>3078</v>
      </c>
      <c r="Z316" t="s">
        <v>3000</v>
      </c>
    </row>
    <row r="317" spans="1:26" x14ac:dyDescent="0.2">
      <c r="A317">
        <v>313</v>
      </c>
      <c r="B317" t="s">
        <v>3079</v>
      </c>
      <c r="C317">
        <v>2010</v>
      </c>
      <c r="D317" t="s">
        <v>1161</v>
      </c>
      <c r="E317" t="s">
        <v>3080</v>
      </c>
      <c r="F317" t="s">
        <v>3081</v>
      </c>
      <c r="G317" t="s">
        <v>30</v>
      </c>
      <c r="H317" t="s">
        <v>3082</v>
      </c>
      <c r="I317" t="s">
        <v>3083</v>
      </c>
      <c r="J317" t="s">
        <v>3084</v>
      </c>
      <c r="K317" t="s">
        <v>250</v>
      </c>
      <c r="L317" s="1">
        <v>46272</v>
      </c>
      <c r="M317" t="s">
        <v>484</v>
      </c>
      <c r="N317">
        <v>69834</v>
      </c>
      <c r="O317" t="s">
        <v>107</v>
      </c>
      <c r="P317" t="s">
        <v>250</v>
      </c>
      <c r="Q317">
        <v>91</v>
      </c>
      <c r="R317" t="s">
        <v>179</v>
      </c>
      <c r="S317" t="s">
        <v>3085</v>
      </c>
      <c r="T317">
        <v>78</v>
      </c>
      <c r="U317" t="s">
        <v>3086</v>
      </c>
      <c r="V317" t="s">
        <v>107</v>
      </c>
      <c r="W317" t="s">
        <v>325</v>
      </c>
      <c r="X317" t="s">
        <v>3087</v>
      </c>
      <c r="Y317" t="s">
        <v>3088</v>
      </c>
      <c r="Z317" t="s">
        <v>3000</v>
      </c>
    </row>
    <row r="318" spans="1:26" x14ac:dyDescent="0.2">
      <c r="A318">
        <v>314</v>
      </c>
      <c r="B318" t="s">
        <v>3089</v>
      </c>
      <c r="C318">
        <v>2008</v>
      </c>
      <c r="D318" t="s">
        <v>3090</v>
      </c>
      <c r="E318" t="s">
        <v>3091</v>
      </c>
      <c r="F318" t="s">
        <v>3092</v>
      </c>
      <c r="G318" t="s">
        <v>684</v>
      </c>
      <c r="H318" t="s">
        <v>3093</v>
      </c>
      <c r="I318" t="s">
        <v>3094</v>
      </c>
      <c r="J318" t="s">
        <v>3095</v>
      </c>
      <c r="K318" t="s">
        <v>250</v>
      </c>
      <c r="L318" s="1">
        <v>46241</v>
      </c>
      <c r="M318" t="s">
        <v>757</v>
      </c>
      <c r="N318">
        <v>232716</v>
      </c>
      <c r="O318" t="s">
        <v>250</v>
      </c>
      <c r="P318" t="s">
        <v>204</v>
      </c>
      <c r="Q318">
        <v>175</v>
      </c>
      <c r="R318" t="s">
        <v>54</v>
      </c>
      <c r="S318" t="s">
        <v>3096</v>
      </c>
      <c r="T318">
        <v>80</v>
      </c>
      <c r="U318" t="s">
        <v>3097</v>
      </c>
      <c r="V318" t="s">
        <v>179</v>
      </c>
      <c r="W318" t="s">
        <v>253</v>
      </c>
      <c r="X318" t="s">
        <v>3098</v>
      </c>
      <c r="Y318" t="s">
        <v>3099</v>
      </c>
      <c r="Z318" t="s">
        <v>3000</v>
      </c>
    </row>
    <row r="319" spans="1:26" x14ac:dyDescent="0.2">
      <c r="A319">
        <v>315</v>
      </c>
      <c r="B319" t="s">
        <v>3100</v>
      </c>
      <c r="C319">
        <v>2024</v>
      </c>
      <c r="D319" t="s">
        <v>3043</v>
      </c>
      <c r="E319" t="s">
        <v>2873</v>
      </c>
      <c r="F319" t="s">
        <v>3101</v>
      </c>
      <c r="G319" t="s">
        <v>30</v>
      </c>
      <c r="H319" t="s">
        <v>3102</v>
      </c>
      <c r="K319" t="s">
        <v>250</v>
      </c>
      <c r="L319" s="1">
        <v>46180</v>
      </c>
      <c r="M319" t="s">
        <v>1241</v>
      </c>
      <c r="N319">
        <v>150547</v>
      </c>
      <c r="O319" t="s">
        <v>74</v>
      </c>
      <c r="P319" t="s">
        <v>179</v>
      </c>
      <c r="Q319">
        <v>193</v>
      </c>
      <c r="T319">
        <v>78</v>
      </c>
      <c r="U319" t="s">
        <v>3103</v>
      </c>
      <c r="V319" t="s">
        <v>228</v>
      </c>
      <c r="W319" t="s">
        <v>2397</v>
      </c>
      <c r="X319" t="s">
        <v>3104</v>
      </c>
      <c r="Y319" t="s">
        <v>3105</v>
      </c>
      <c r="Z319" t="s">
        <v>3106</v>
      </c>
    </row>
    <row r="320" spans="1:26" x14ac:dyDescent="0.2">
      <c r="A320">
        <v>316</v>
      </c>
      <c r="B320" t="s">
        <v>3107</v>
      </c>
      <c r="C320">
        <v>2022</v>
      </c>
      <c r="D320" t="s">
        <v>65</v>
      </c>
      <c r="E320" t="s">
        <v>3108</v>
      </c>
      <c r="F320" t="s">
        <v>3109</v>
      </c>
      <c r="G320" t="s">
        <v>321</v>
      </c>
      <c r="H320" t="s">
        <v>3110</v>
      </c>
      <c r="K320" t="s">
        <v>204</v>
      </c>
      <c r="L320" s="1">
        <v>46241</v>
      </c>
      <c r="M320" t="s">
        <v>757</v>
      </c>
      <c r="N320">
        <v>42931</v>
      </c>
      <c r="O320" t="s">
        <v>228</v>
      </c>
      <c r="P320" t="s">
        <v>204</v>
      </c>
      <c r="Q320">
        <v>90</v>
      </c>
      <c r="S320" t="s">
        <v>3111</v>
      </c>
      <c r="T320">
        <v>82</v>
      </c>
      <c r="U320" t="s">
        <v>3112</v>
      </c>
      <c r="V320" t="s">
        <v>97</v>
      </c>
      <c r="W320" t="s">
        <v>3113</v>
      </c>
      <c r="X320" t="s">
        <v>3114</v>
      </c>
      <c r="Y320" t="s">
        <v>3115</v>
      </c>
      <c r="Z320" t="s">
        <v>3106</v>
      </c>
    </row>
    <row r="321" spans="1:26" x14ac:dyDescent="0.2">
      <c r="A321">
        <v>317</v>
      </c>
      <c r="B321" t="s">
        <v>3116</v>
      </c>
      <c r="C321">
        <v>2022</v>
      </c>
      <c r="D321" t="s">
        <v>3117</v>
      </c>
      <c r="E321" t="s">
        <v>2112</v>
      </c>
      <c r="F321" t="s">
        <v>3118</v>
      </c>
      <c r="G321" t="s">
        <v>30</v>
      </c>
      <c r="H321" t="s">
        <v>3119</v>
      </c>
      <c r="K321" t="s">
        <v>204</v>
      </c>
      <c r="L321" s="1">
        <v>46210</v>
      </c>
      <c r="M321" t="s">
        <v>1225</v>
      </c>
      <c r="N321">
        <v>277579</v>
      </c>
      <c r="O321" t="s">
        <v>179</v>
      </c>
      <c r="P321" t="s">
        <v>179</v>
      </c>
      <c r="Q321">
        <v>220</v>
      </c>
      <c r="S321" t="s">
        <v>3120</v>
      </c>
      <c r="T321">
        <v>82</v>
      </c>
      <c r="U321" t="s">
        <v>3121</v>
      </c>
      <c r="V321" t="s">
        <v>304</v>
      </c>
      <c r="X321" t="s">
        <v>3122</v>
      </c>
      <c r="Y321" t="s">
        <v>3123</v>
      </c>
      <c r="Z321" t="s">
        <v>3106</v>
      </c>
    </row>
    <row r="322" spans="1:26" x14ac:dyDescent="0.2">
      <c r="A322">
        <v>318</v>
      </c>
      <c r="B322" t="s">
        <v>3124</v>
      </c>
      <c r="C322">
        <v>2006</v>
      </c>
      <c r="D322" t="s">
        <v>992</v>
      </c>
      <c r="E322" t="s">
        <v>3125</v>
      </c>
      <c r="F322" t="s">
        <v>3126</v>
      </c>
      <c r="G322" t="s">
        <v>30</v>
      </c>
      <c r="H322" t="s">
        <v>3127</v>
      </c>
      <c r="I322" t="s">
        <v>3128</v>
      </c>
      <c r="J322" t="s">
        <v>1462</v>
      </c>
      <c r="K322" t="s">
        <v>228</v>
      </c>
      <c r="L322" s="1">
        <v>46241</v>
      </c>
      <c r="M322" t="s">
        <v>757</v>
      </c>
      <c r="N322">
        <v>534824</v>
      </c>
      <c r="O322" t="s">
        <v>304</v>
      </c>
      <c r="P322" t="s">
        <v>484</v>
      </c>
      <c r="Q322">
        <v>136</v>
      </c>
      <c r="R322" t="s">
        <v>179</v>
      </c>
      <c r="S322" t="s">
        <v>3129</v>
      </c>
      <c r="T322">
        <v>84</v>
      </c>
      <c r="U322" t="s">
        <v>3130</v>
      </c>
      <c r="V322" t="s">
        <v>179</v>
      </c>
      <c r="W322" t="s">
        <v>135</v>
      </c>
      <c r="X322" t="s">
        <v>3131</v>
      </c>
      <c r="Y322" t="s">
        <v>3132</v>
      </c>
      <c r="Z322" t="s">
        <v>3133</v>
      </c>
    </row>
    <row r="323" spans="1:26" x14ac:dyDescent="0.2">
      <c r="A323">
        <v>319</v>
      </c>
      <c r="B323" t="s">
        <v>3134</v>
      </c>
      <c r="C323">
        <v>1988</v>
      </c>
      <c r="D323" t="s">
        <v>3135</v>
      </c>
      <c r="E323" t="s">
        <v>584</v>
      </c>
      <c r="F323" t="s">
        <v>3136</v>
      </c>
      <c r="G323" t="s">
        <v>30</v>
      </c>
      <c r="H323" t="s">
        <v>3137</v>
      </c>
      <c r="I323" t="s">
        <v>3138</v>
      </c>
      <c r="J323" t="s">
        <v>2096</v>
      </c>
      <c r="K323" t="s">
        <v>204</v>
      </c>
      <c r="L323" s="1">
        <v>46210</v>
      </c>
      <c r="M323" t="s">
        <v>1225</v>
      </c>
      <c r="N323">
        <v>224493</v>
      </c>
      <c r="O323" t="s">
        <v>204</v>
      </c>
      <c r="P323" t="s">
        <v>107</v>
      </c>
      <c r="Q323">
        <v>60</v>
      </c>
      <c r="R323" t="s">
        <v>228</v>
      </c>
      <c r="S323" t="s">
        <v>3139</v>
      </c>
      <c r="T323">
        <v>80</v>
      </c>
      <c r="U323" t="s">
        <v>3140</v>
      </c>
      <c r="V323" t="s">
        <v>97</v>
      </c>
      <c r="W323" t="s">
        <v>444</v>
      </c>
      <c r="X323" t="s">
        <v>3141</v>
      </c>
      <c r="Y323" t="s">
        <v>3142</v>
      </c>
      <c r="Z323" t="s">
        <v>3133</v>
      </c>
    </row>
    <row r="324" spans="1:26" x14ac:dyDescent="0.2">
      <c r="A324">
        <v>320</v>
      </c>
      <c r="B324" t="s">
        <v>3143</v>
      </c>
      <c r="C324">
        <v>2008</v>
      </c>
      <c r="D324" t="s">
        <v>3144</v>
      </c>
      <c r="E324" t="s">
        <v>141</v>
      </c>
      <c r="F324" t="s">
        <v>3145</v>
      </c>
      <c r="G324" t="s">
        <v>50</v>
      </c>
      <c r="H324" t="s">
        <v>3146</v>
      </c>
      <c r="I324" t="s">
        <v>3147</v>
      </c>
      <c r="J324" t="s">
        <v>145</v>
      </c>
      <c r="K324" t="s">
        <v>250</v>
      </c>
      <c r="L324" s="1">
        <v>46180</v>
      </c>
      <c r="M324" t="s">
        <v>1241</v>
      </c>
      <c r="N324">
        <v>173372</v>
      </c>
      <c r="O324" t="s">
        <v>54</v>
      </c>
      <c r="P324" t="s">
        <v>484</v>
      </c>
      <c r="Q324">
        <v>103</v>
      </c>
      <c r="R324" t="s">
        <v>228</v>
      </c>
      <c r="S324" t="s">
        <v>3148</v>
      </c>
      <c r="T324">
        <v>82</v>
      </c>
      <c r="U324" t="s">
        <v>3149</v>
      </c>
      <c r="V324" t="s">
        <v>74</v>
      </c>
      <c r="W324" t="s">
        <v>135</v>
      </c>
      <c r="X324" t="s">
        <v>3150</v>
      </c>
      <c r="Y324" t="s">
        <v>3151</v>
      </c>
      <c r="Z324" t="s">
        <v>3133</v>
      </c>
    </row>
    <row r="325" spans="1:26" x14ac:dyDescent="0.2">
      <c r="A325">
        <v>321</v>
      </c>
      <c r="B325" t="s">
        <v>3152</v>
      </c>
      <c r="C325">
        <v>1994</v>
      </c>
      <c r="D325" t="s">
        <v>3153</v>
      </c>
      <c r="E325" t="s">
        <v>3154</v>
      </c>
      <c r="F325" t="s">
        <v>3155</v>
      </c>
      <c r="G325" t="s">
        <v>30</v>
      </c>
      <c r="H325" t="s">
        <v>3156</v>
      </c>
      <c r="I325" t="s">
        <v>3157</v>
      </c>
      <c r="J325" t="s">
        <v>3158</v>
      </c>
      <c r="K325" t="s">
        <v>250</v>
      </c>
      <c r="L325" s="1">
        <v>46149</v>
      </c>
      <c r="M325" t="s">
        <v>1270</v>
      </c>
      <c r="N325">
        <v>75122</v>
      </c>
      <c r="O325" t="s">
        <v>35</v>
      </c>
      <c r="P325" t="s">
        <v>54</v>
      </c>
      <c r="Q325">
        <v>58</v>
      </c>
      <c r="R325" t="s">
        <v>204</v>
      </c>
      <c r="S325" t="s">
        <v>3159</v>
      </c>
      <c r="T325">
        <v>76</v>
      </c>
      <c r="U325" t="s">
        <v>3160</v>
      </c>
      <c r="V325" t="s">
        <v>204</v>
      </c>
      <c r="W325" t="s">
        <v>75</v>
      </c>
      <c r="X325" t="s">
        <v>3161</v>
      </c>
      <c r="Y325" t="s">
        <v>3162</v>
      </c>
      <c r="Z325" t="s">
        <v>3133</v>
      </c>
    </row>
    <row r="326" spans="1:26" x14ac:dyDescent="0.2">
      <c r="A326">
        <v>322</v>
      </c>
      <c r="B326" t="s">
        <v>3163</v>
      </c>
      <c r="C326">
        <v>1937</v>
      </c>
      <c r="D326" t="s">
        <v>804</v>
      </c>
      <c r="E326" t="s">
        <v>3164</v>
      </c>
      <c r="F326" t="s">
        <v>3165</v>
      </c>
      <c r="G326" t="s">
        <v>30</v>
      </c>
      <c r="H326" t="s">
        <v>3166</v>
      </c>
      <c r="K326" t="s">
        <v>250</v>
      </c>
      <c r="L326" s="1">
        <v>46180</v>
      </c>
      <c r="M326" t="s">
        <v>1241</v>
      </c>
      <c r="N326">
        <v>229319</v>
      </c>
      <c r="O326" t="s">
        <v>37</v>
      </c>
      <c r="P326" t="s">
        <v>41</v>
      </c>
      <c r="Q326">
        <v>79</v>
      </c>
      <c r="S326" t="s">
        <v>3167</v>
      </c>
      <c r="T326">
        <v>68</v>
      </c>
      <c r="U326" t="s">
        <v>3168</v>
      </c>
      <c r="V326" t="s">
        <v>250</v>
      </c>
      <c r="W326" t="s">
        <v>444</v>
      </c>
      <c r="X326" t="s">
        <v>3169</v>
      </c>
      <c r="Y326" t="s">
        <v>3170</v>
      </c>
      <c r="Z326" t="s">
        <v>3171</v>
      </c>
    </row>
    <row r="327" spans="1:26" x14ac:dyDescent="0.2">
      <c r="A327">
        <v>323</v>
      </c>
      <c r="B327" t="s">
        <v>3172</v>
      </c>
      <c r="C327">
        <v>1995</v>
      </c>
      <c r="D327" t="s">
        <v>3173</v>
      </c>
      <c r="E327" t="s">
        <v>1768</v>
      </c>
      <c r="F327" t="s">
        <v>3174</v>
      </c>
      <c r="G327" t="s">
        <v>30</v>
      </c>
      <c r="H327" t="s">
        <v>3175</v>
      </c>
      <c r="I327" t="s">
        <v>3176</v>
      </c>
      <c r="J327" t="s">
        <v>353</v>
      </c>
      <c r="K327" t="s">
        <v>228</v>
      </c>
      <c r="L327" s="1">
        <v>46181</v>
      </c>
      <c r="M327" t="s">
        <v>54</v>
      </c>
      <c r="N327">
        <v>1895482</v>
      </c>
      <c r="O327" t="s">
        <v>3177</v>
      </c>
      <c r="P327" t="s">
        <v>1930</v>
      </c>
      <c r="Q327">
        <v>96</v>
      </c>
      <c r="R327" t="s">
        <v>35</v>
      </c>
      <c r="S327" t="s">
        <v>3178</v>
      </c>
      <c r="T327">
        <v>86</v>
      </c>
      <c r="U327" t="s">
        <v>3179</v>
      </c>
      <c r="V327" t="s">
        <v>74</v>
      </c>
      <c r="W327" t="s">
        <v>135</v>
      </c>
      <c r="X327" t="s">
        <v>3180</v>
      </c>
      <c r="Y327" t="s">
        <v>3181</v>
      </c>
      <c r="Z327" t="s">
        <v>3182</v>
      </c>
    </row>
    <row r="328" spans="1:26" x14ac:dyDescent="0.2">
      <c r="A328">
        <v>324</v>
      </c>
      <c r="B328" t="s">
        <v>3183</v>
      </c>
      <c r="C328">
        <v>2007</v>
      </c>
      <c r="D328" t="s">
        <v>3184</v>
      </c>
      <c r="E328" t="s">
        <v>3185</v>
      </c>
      <c r="F328" t="s">
        <v>3186</v>
      </c>
      <c r="G328" t="s">
        <v>30</v>
      </c>
      <c r="H328" t="s">
        <v>3187</v>
      </c>
      <c r="I328" t="s">
        <v>3188</v>
      </c>
      <c r="J328" t="s">
        <v>85</v>
      </c>
      <c r="K328" t="s">
        <v>228</v>
      </c>
      <c r="L328" t="s">
        <v>564</v>
      </c>
      <c r="M328" t="s">
        <v>304</v>
      </c>
      <c r="N328">
        <v>669722</v>
      </c>
      <c r="O328" t="s">
        <v>107</v>
      </c>
      <c r="P328" t="s">
        <v>228</v>
      </c>
      <c r="Q328">
        <v>163</v>
      </c>
      <c r="R328" t="s">
        <v>54</v>
      </c>
      <c r="S328" t="s">
        <v>3189</v>
      </c>
      <c r="T328">
        <v>74</v>
      </c>
      <c r="U328" t="s">
        <v>3190</v>
      </c>
      <c r="V328" t="s">
        <v>157</v>
      </c>
      <c r="W328" t="s">
        <v>75</v>
      </c>
      <c r="Y328" t="s">
        <v>3191</v>
      </c>
      <c r="Z328" t="s">
        <v>3182</v>
      </c>
    </row>
    <row r="329" spans="1:26" x14ac:dyDescent="0.2">
      <c r="A329">
        <v>325</v>
      </c>
      <c r="B329" t="s">
        <v>3192</v>
      </c>
      <c r="C329">
        <v>2006</v>
      </c>
      <c r="D329" t="s">
        <v>27</v>
      </c>
      <c r="E329" t="s">
        <v>3193</v>
      </c>
      <c r="F329" t="s">
        <v>3194</v>
      </c>
      <c r="G329" t="s">
        <v>30</v>
      </c>
      <c r="H329" t="s">
        <v>3195</v>
      </c>
      <c r="I329" t="s">
        <v>3196</v>
      </c>
      <c r="J329" t="s">
        <v>1451</v>
      </c>
      <c r="K329" t="s">
        <v>228</v>
      </c>
      <c r="L329" s="1">
        <v>46210</v>
      </c>
      <c r="M329" t="s">
        <v>1225</v>
      </c>
      <c r="N329">
        <v>131520</v>
      </c>
      <c r="O329" t="s">
        <v>54</v>
      </c>
      <c r="P329" t="s">
        <v>484</v>
      </c>
      <c r="Q329">
        <v>71</v>
      </c>
      <c r="R329" t="s">
        <v>54</v>
      </c>
      <c r="S329" t="s">
        <v>3197</v>
      </c>
      <c r="T329">
        <v>82</v>
      </c>
      <c r="U329" t="s">
        <v>3198</v>
      </c>
      <c r="V329" t="s">
        <v>271</v>
      </c>
      <c r="W329" t="s">
        <v>617</v>
      </c>
      <c r="X329" t="s">
        <v>3199</v>
      </c>
      <c r="Y329" t="s">
        <v>3200</v>
      </c>
      <c r="Z329" t="s">
        <v>3182</v>
      </c>
    </row>
    <row r="330" spans="1:26" x14ac:dyDescent="0.2">
      <c r="A330">
        <v>326</v>
      </c>
      <c r="B330" t="s">
        <v>3201</v>
      </c>
      <c r="C330">
        <v>2013</v>
      </c>
      <c r="D330" t="s">
        <v>65</v>
      </c>
      <c r="E330" t="s">
        <v>3202</v>
      </c>
      <c r="F330" t="s">
        <v>3203</v>
      </c>
      <c r="G330" t="s">
        <v>30</v>
      </c>
      <c r="H330" t="s">
        <v>3204</v>
      </c>
      <c r="I330" t="s">
        <v>3205</v>
      </c>
      <c r="K330" t="s">
        <v>228</v>
      </c>
      <c r="L330" s="1">
        <v>46272</v>
      </c>
      <c r="M330" t="s">
        <v>484</v>
      </c>
      <c r="N330">
        <v>93484</v>
      </c>
      <c r="O330" t="s">
        <v>250</v>
      </c>
      <c r="P330" t="s">
        <v>271</v>
      </c>
      <c r="Q330">
        <v>123</v>
      </c>
      <c r="R330" t="s">
        <v>157</v>
      </c>
      <c r="S330" t="s">
        <v>3206</v>
      </c>
      <c r="T330">
        <v>84</v>
      </c>
      <c r="U330" t="s">
        <v>3207</v>
      </c>
      <c r="V330" t="s">
        <v>1225</v>
      </c>
      <c r="W330" t="s">
        <v>253</v>
      </c>
      <c r="X330" t="s">
        <v>3208</v>
      </c>
      <c r="Y330" t="s">
        <v>3209</v>
      </c>
      <c r="Z330" t="s">
        <v>3182</v>
      </c>
    </row>
    <row r="331" spans="1:26" x14ac:dyDescent="0.2">
      <c r="A331">
        <v>327</v>
      </c>
      <c r="B331" t="s">
        <v>3210</v>
      </c>
      <c r="C331">
        <v>2006</v>
      </c>
      <c r="D331" t="s">
        <v>2429</v>
      </c>
      <c r="E331" t="s">
        <v>3211</v>
      </c>
      <c r="F331" t="s">
        <v>3212</v>
      </c>
      <c r="G331" t="s">
        <v>30</v>
      </c>
      <c r="H331" t="s">
        <v>3213</v>
      </c>
      <c r="I331" t="s">
        <v>3214</v>
      </c>
      <c r="J331" t="s">
        <v>3215</v>
      </c>
      <c r="K331" t="s">
        <v>250</v>
      </c>
      <c r="L331" t="s">
        <v>564</v>
      </c>
      <c r="M331" t="s">
        <v>304</v>
      </c>
      <c r="N331">
        <v>714725</v>
      </c>
      <c r="O331" t="s">
        <v>304</v>
      </c>
      <c r="P331" t="s">
        <v>484</v>
      </c>
      <c r="Q331">
        <v>151</v>
      </c>
      <c r="R331" t="s">
        <v>107</v>
      </c>
      <c r="S331" t="s">
        <v>3216</v>
      </c>
      <c r="T331">
        <v>80</v>
      </c>
      <c r="U331" t="s">
        <v>3217</v>
      </c>
      <c r="V331" t="s">
        <v>41</v>
      </c>
      <c r="W331" t="s">
        <v>75</v>
      </c>
      <c r="X331" t="s">
        <v>3218</v>
      </c>
      <c r="Y331" t="s">
        <v>3219</v>
      </c>
      <c r="Z331" t="s">
        <v>3182</v>
      </c>
    </row>
    <row r="332" spans="1:26" x14ac:dyDescent="0.2">
      <c r="A332">
        <v>328</v>
      </c>
      <c r="B332" t="s">
        <v>3220</v>
      </c>
      <c r="C332">
        <v>2023</v>
      </c>
      <c r="D332" t="s">
        <v>3221</v>
      </c>
      <c r="E332" t="s">
        <v>3222</v>
      </c>
      <c r="F332" t="s">
        <v>3223</v>
      </c>
      <c r="G332" t="s">
        <v>321</v>
      </c>
      <c r="H332" t="s">
        <v>3224</v>
      </c>
      <c r="K332" t="s">
        <v>250</v>
      </c>
      <c r="L332" s="1">
        <v>46180</v>
      </c>
      <c r="M332" t="s">
        <v>1241</v>
      </c>
      <c r="N332">
        <v>171286</v>
      </c>
      <c r="O332" t="s">
        <v>54</v>
      </c>
      <c r="P332" t="s">
        <v>107</v>
      </c>
      <c r="Q332">
        <v>170</v>
      </c>
      <c r="S332" t="s">
        <v>3225</v>
      </c>
      <c r="T332">
        <v>82</v>
      </c>
      <c r="U332" t="s">
        <v>3226</v>
      </c>
      <c r="V332" t="s">
        <v>250</v>
      </c>
      <c r="W332" t="s">
        <v>885</v>
      </c>
      <c r="X332" t="s">
        <v>3227</v>
      </c>
      <c r="Y332" t="s">
        <v>3228</v>
      </c>
      <c r="Z332" t="s">
        <v>3229</v>
      </c>
    </row>
    <row r="333" spans="1:26" x14ac:dyDescent="0.2">
      <c r="A333">
        <v>329</v>
      </c>
      <c r="B333" t="s">
        <v>3230</v>
      </c>
      <c r="C333">
        <v>2021</v>
      </c>
      <c r="D333" t="s">
        <v>3231</v>
      </c>
      <c r="E333" t="s">
        <v>319</v>
      </c>
      <c r="F333" t="s">
        <v>3232</v>
      </c>
      <c r="G333" t="s">
        <v>321</v>
      </c>
      <c r="H333" t="s">
        <v>3233</v>
      </c>
      <c r="K333" t="s">
        <v>250</v>
      </c>
      <c r="L333" s="1">
        <v>46119</v>
      </c>
      <c r="M333" t="s">
        <v>1930</v>
      </c>
      <c r="N333">
        <v>19348</v>
      </c>
      <c r="O333" t="s">
        <v>34</v>
      </c>
      <c r="P333" t="s">
        <v>97</v>
      </c>
      <c r="Q333">
        <v>128</v>
      </c>
      <c r="S333" t="s">
        <v>3234</v>
      </c>
      <c r="T333">
        <v>82</v>
      </c>
      <c r="U333" t="s">
        <v>3235</v>
      </c>
      <c r="V333" t="s">
        <v>2978</v>
      </c>
      <c r="X333" t="s">
        <v>3236</v>
      </c>
      <c r="Y333" t="s">
        <v>3237</v>
      </c>
      <c r="Z333" t="s">
        <v>3229</v>
      </c>
    </row>
    <row r="334" spans="1:26" x14ac:dyDescent="0.2">
      <c r="A334">
        <v>330</v>
      </c>
      <c r="B334" t="s">
        <v>3238</v>
      </c>
      <c r="C334">
        <v>2020</v>
      </c>
      <c r="D334" t="s">
        <v>992</v>
      </c>
      <c r="E334" t="s">
        <v>2336</v>
      </c>
      <c r="F334" t="s">
        <v>3239</v>
      </c>
      <c r="G334" t="s">
        <v>2338</v>
      </c>
      <c r="H334" t="s">
        <v>3240</v>
      </c>
      <c r="K334" t="s">
        <v>228</v>
      </c>
      <c r="L334" s="1">
        <v>46210</v>
      </c>
      <c r="M334" t="s">
        <v>1225</v>
      </c>
      <c r="N334">
        <v>211260</v>
      </c>
      <c r="O334" t="s">
        <v>484</v>
      </c>
      <c r="P334" t="s">
        <v>484</v>
      </c>
      <c r="Q334">
        <v>149</v>
      </c>
      <c r="R334" t="s">
        <v>179</v>
      </c>
      <c r="S334" t="s">
        <v>3241</v>
      </c>
      <c r="T334">
        <v>82</v>
      </c>
      <c r="U334" t="s">
        <v>3242</v>
      </c>
      <c r="V334" t="s">
        <v>97</v>
      </c>
      <c r="X334" t="s">
        <v>3243</v>
      </c>
      <c r="Y334" t="s">
        <v>3244</v>
      </c>
      <c r="Z334" t="s">
        <v>3245</v>
      </c>
    </row>
    <row r="335" spans="1:26" x14ac:dyDescent="0.2">
      <c r="A335">
        <v>331</v>
      </c>
      <c r="B335" t="s">
        <v>3246</v>
      </c>
      <c r="C335">
        <v>2018</v>
      </c>
      <c r="D335" t="s">
        <v>65</v>
      </c>
      <c r="E335" t="s">
        <v>2298</v>
      </c>
      <c r="F335" t="s">
        <v>3247</v>
      </c>
      <c r="G335" t="s">
        <v>492</v>
      </c>
      <c r="H335" t="s">
        <v>3248</v>
      </c>
      <c r="K335" t="s">
        <v>271</v>
      </c>
      <c r="L335" s="1">
        <v>46210</v>
      </c>
      <c r="M335" t="s">
        <v>1225</v>
      </c>
      <c r="N335">
        <v>173824</v>
      </c>
      <c r="O335" t="s">
        <v>37</v>
      </c>
      <c r="P335" t="s">
        <v>35</v>
      </c>
      <c r="Q335">
        <v>250</v>
      </c>
      <c r="R335" t="s">
        <v>2978</v>
      </c>
      <c r="S335" t="s">
        <v>3249</v>
      </c>
      <c r="T335">
        <v>82</v>
      </c>
      <c r="U335" t="s">
        <v>3250</v>
      </c>
      <c r="V335" t="s">
        <v>2978</v>
      </c>
      <c r="W335" t="s">
        <v>885</v>
      </c>
      <c r="X335" t="s">
        <v>3251</v>
      </c>
      <c r="Y335" t="s">
        <v>3252</v>
      </c>
      <c r="Z335" t="s">
        <v>3245</v>
      </c>
    </row>
    <row r="336" spans="1:26" x14ac:dyDescent="0.2">
      <c r="A336">
        <v>332</v>
      </c>
      <c r="B336" t="s">
        <v>3253</v>
      </c>
      <c r="C336">
        <v>1953</v>
      </c>
      <c r="D336" t="s">
        <v>3254</v>
      </c>
      <c r="E336" t="s">
        <v>654</v>
      </c>
      <c r="F336" t="s">
        <v>3255</v>
      </c>
      <c r="G336" t="s">
        <v>30</v>
      </c>
      <c r="H336" t="s">
        <v>3256</v>
      </c>
      <c r="I336" t="s">
        <v>3257</v>
      </c>
      <c r="J336" t="s">
        <v>33</v>
      </c>
      <c r="K336" t="s">
        <v>228</v>
      </c>
      <c r="L336" t="s">
        <v>564</v>
      </c>
      <c r="M336" t="s">
        <v>304</v>
      </c>
      <c r="N336">
        <v>151851</v>
      </c>
      <c r="O336" t="s">
        <v>757</v>
      </c>
      <c r="P336" t="s">
        <v>204</v>
      </c>
      <c r="Q336">
        <v>58</v>
      </c>
      <c r="R336" t="s">
        <v>97</v>
      </c>
      <c r="S336" t="s">
        <v>3258</v>
      </c>
      <c r="T336">
        <v>84</v>
      </c>
      <c r="U336" t="s">
        <v>3259</v>
      </c>
      <c r="V336" t="s">
        <v>484</v>
      </c>
      <c r="W336" t="s">
        <v>75</v>
      </c>
      <c r="X336" t="s">
        <v>3260</v>
      </c>
      <c r="Y336" t="s">
        <v>3261</v>
      </c>
      <c r="Z336" t="s">
        <v>3245</v>
      </c>
    </row>
    <row r="337" spans="1:26" x14ac:dyDescent="0.2">
      <c r="A337">
        <v>333</v>
      </c>
      <c r="B337" t="s">
        <v>3262</v>
      </c>
      <c r="C337">
        <v>1999</v>
      </c>
      <c r="D337" t="s">
        <v>3263</v>
      </c>
      <c r="E337" t="s">
        <v>3264</v>
      </c>
      <c r="F337" t="s">
        <v>3265</v>
      </c>
      <c r="G337" t="s">
        <v>30</v>
      </c>
      <c r="H337" t="s">
        <v>3266</v>
      </c>
      <c r="I337" t="s">
        <v>3267</v>
      </c>
      <c r="J337" t="s">
        <v>216</v>
      </c>
      <c r="K337" t="s">
        <v>250</v>
      </c>
      <c r="L337" s="1">
        <v>46211</v>
      </c>
      <c r="M337" t="s">
        <v>179</v>
      </c>
      <c r="N337">
        <v>2141445</v>
      </c>
      <c r="O337" t="s">
        <v>2978</v>
      </c>
      <c r="P337" t="s">
        <v>1241</v>
      </c>
      <c r="Q337">
        <v>130</v>
      </c>
      <c r="R337" t="s">
        <v>271</v>
      </c>
      <c r="S337" t="s">
        <v>3268</v>
      </c>
      <c r="T337">
        <v>84</v>
      </c>
      <c r="U337" t="s">
        <v>3269</v>
      </c>
      <c r="V337" t="s">
        <v>97</v>
      </c>
      <c r="W337" t="s">
        <v>135</v>
      </c>
      <c r="Y337" t="s">
        <v>3270</v>
      </c>
      <c r="Z337" t="s">
        <v>3245</v>
      </c>
    </row>
    <row r="338" spans="1:26" x14ac:dyDescent="0.2">
      <c r="A338">
        <v>334</v>
      </c>
      <c r="B338" t="s">
        <v>3271</v>
      </c>
      <c r="C338">
        <v>2015</v>
      </c>
      <c r="D338" t="s">
        <v>3272</v>
      </c>
      <c r="E338" t="s">
        <v>3273</v>
      </c>
      <c r="F338" t="s">
        <v>3274</v>
      </c>
      <c r="G338" t="s">
        <v>30</v>
      </c>
      <c r="H338" t="s">
        <v>3275</v>
      </c>
      <c r="J338" t="s">
        <v>1462</v>
      </c>
      <c r="K338" t="s">
        <v>250</v>
      </c>
      <c r="L338" s="1">
        <v>46149</v>
      </c>
      <c r="M338" t="s">
        <v>1270</v>
      </c>
      <c r="N338">
        <v>154679</v>
      </c>
      <c r="O338" t="s">
        <v>157</v>
      </c>
      <c r="P338" t="s">
        <v>54</v>
      </c>
      <c r="Q338">
        <v>172</v>
      </c>
      <c r="R338" t="s">
        <v>204</v>
      </c>
      <c r="S338" t="s">
        <v>3276</v>
      </c>
      <c r="T338">
        <v>76</v>
      </c>
      <c r="U338" t="s">
        <v>3277</v>
      </c>
      <c r="V338" t="s">
        <v>107</v>
      </c>
      <c r="W338" t="s">
        <v>75</v>
      </c>
      <c r="X338" t="s">
        <v>3278</v>
      </c>
      <c r="Y338" t="s">
        <v>3279</v>
      </c>
      <c r="Z338" t="s">
        <v>3245</v>
      </c>
    </row>
    <row r="339" spans="1:26" x14ac:dyDescent="0.2">
      <c r="A339">
        <v>335</v>
      </c>
      <c r="B339" t="s">
        <v>3280</v>
      </c>
      <c r="C339">
        <v>2006</v>
      </c>
      <c r="D339" t="s">
        <v>3281</v>
      </c>
      <c r="E339" t="s">
        <v>1593</v>
      </c>
      <c r="F339" t="s">
        <v>3282</v>
      </c>
      <c r="G339" t="s">
        <v>30</v>
      </c>
      <c r="H339" t="s">
        <v>3283</v>
      </c>
      <c r="I339" t="s">
        <v>3284</v>
      </c>
      <c r="J339" t="s">
        <v>216</v>
      </c>
      <c r="K339" t="s">
        <v>250</v>
      </c>
      <c r="L339" s="1">
        <v>46241</v>
      </c>
      <c r="M339" t="s">
        <v>757</v>
      </c>
      <c r="N339">
        <v>173297</v>
      </c>
      <c r="O339" t="s">
        <v>97</v>
      </c>
      <c r="P339" t="s">
        <v>271</v>
      </c>
      <c r="Q339">
        <v>129</v>
      </c>
      <c r="R339" t="s">
        <v>204</v>
      </c>
      <c r="S339" t="s">
        <v>3285</v>
      </c>
      <c r="T339">
        <v>78</v>
      </c>
      <c r="U339" t="s">
        <v>3286</v>
      </c>
      <c r="V339" t="s">
        <v>228</v>
      </c>
      <c r="W339" t="s">
        <v>75</v>
      </c>
      <c r="X339" t="s">
        <v>3287</v>
      </c>
      <c r="Y339" t="s">
        <v>3288</v>
      </c>
      <c r="Z339" t="s">
        <v>3245</v>
      </c>
    </row>
    <row r="340" spans="1:26" x14ac:dyDescent="0.2">
      <c r="A340">
        <v>336</v>
      </c>
      <c r="B340" t="s">
        <v>3289</v>
      </c>
      <c r="C340">
        <v>2004</v>
      </c>
      <c r="D340" t="s">
        <v>3290</v>
      </c>
      <c r="E340" t="s">
        <v>2298</v>
      </c>
      <c r="F340" t="s">
        <v>3291</v>
      </c>
      <c r="G340" t="s">
        <v>30</v>
      </c>
      <c r="H340" t="s">
        <v>3292</v>
      </c>
      <c r="I340" t="s">
        <v>3293</v>
      </c>
      <c r="J340" t="s">
        <v>216</v>
      </c>
      <c r="K340" t="s">
        <v>250</v>
      </c>
      <c r="L340" s="1">
        <v>46272</v>
      </c>
      <c r="M340" t="s">
        <v>484</v>
      </c>
      <c r="N340">
        <v>724666</v>
      </c>
      <c r="O340" t="s">
        <v>250</v>
      </c>
      <c r="P340" t="s">
        <v>484</v>
      </c>
      <c r="Q340">
        <v>156</v>
      </c>
      <c r="R340" t="s">
        <v>271</v>
      </c>
      <c r="S340" t="s">
        <v>3294</v>
      </c>
      <c r="T340">
        <v>82</v>
      </c>
      <c r="U340" t="s">
        <v>3295</v>
      </c>
      <c r="V340" t="s">
        <v>179</v>
      </c>
      <c r="W340" t="s">
        <v>3296</v>
      </c>
      <c r="X340" t="s">
        <v>3297</v>
      </c>
      <c r="Y340" t="s">
        <v>3298</v>
      </c>
      <c r="Z340" t="s">
        <v>3245</v>
      </c>
    </row>
    <row r="341" spans="1:26" x14ac:dyDescent="0.2">
      <c r="A341">
        <v>337</v>
      </c>
      <c r="B341" t="s">
        <v>3299</v>
      </c>
      <c r="C341">
        <v>2002</v>
      </c>
      <c r="D341" t="s">
        <v>211</v>
      </c>
      <c r="E341" t="s">
        <v>1961</v>
      </c>
      <c r="F341" t="s">
        <v>3300</v>
      </c>
      <c r="G341" t="s">
        <v>492</v>
      </c>
      <c r="H341" t="s">
        <v>3301</v>
      </c>
      <c r="K341" t="s">
        <v>228</v>
      </c>
      <c r="L341" s="1">
        <v>46272</v>
      </c>
      <c r="M341" t="s">
        <v>484</v>
      </c>
      <c r="N341">
        <v>119714</v>
      </c>
      <c r="O341" t="s">
        <v>54</v>
      </c>
      <c r="P341" t="s">
        <v>250</v>
      </c>
      <c r="Q341">
        <v>71</v>
      </c>
      <c r="R341" t="s">
        <v>157</v>
      </c>
      <c r="S341" t="s">
        <v>3302</v>
      </c>
      <c r="T341">
        <v>78</v>
      </c>
      <c r="U341" t="s">
        <v>3303</v>
      </c>
      <c r="V341" t="s">
        <v>304</v>
      </c>
      <c r="W341" t="s">
        <v>325</v>
      </c>
      <c r="X341" t="s">
        <v>3304</v>
      </c>
      <c r="Y341" t="s">
        <v>3305</v>
      </c>
      <c r="Z341" t="s">
        <v>3245</v>
      </c>
    </row>
    <row r="342" spans="1:26" x14ac:dyDescent="0.2">
      <c r="A342">
        <v>338</v>
      </c>
      <c r="B342" t="s">
        <v>3306</v>
      </c>
      <c r="C342">
        <v>2004</v>
      </c>
      <c r="D342" t="s">
        <v>3307</v>
      </c>
      <c r="E342" t="s">
        <v>3308</v>
      </c>
      <c r="F342" t="s">
        <v>3309</v>
      </c>
      <c r="G342" t="s">
        <v>30</v>
      </c>
      <c r="H342" t="s">
        <v>3310</v>
      </c>
      <c r="I342" t="s">
        <v>3311</v>
      </c>
      <c r="J342" t="s">
        <v>614</v>
      </c>
      <c r="K342" t="s">
        <v>228</v>
      </c>
      <c r="L342" s="1">
        <v>46272</v>
      </c>
      <c r="M342" t="s">
        <v>484</v>
      </c>
      <c r="N342">
        <v>616400</v>
      </c>
      <c r="O342" t="s">
        <v>1241</v>
      </c>
      <c r="P342" t="s">
        <v>757</v>
      </c>
      <c r="Q342">
        <v>147</v>
      </c>
      <c r="R342" t="s">
        <v>157</v>
      </c>
      <c r="S342" t="s">
        <v>3312</v>
      </c>
      <c r="T342">
        <v>80</v>
      </c>
      <c r="U342" t="s">
        <v>3313</v>
      </c>
      <c r="V342" t="s">
        <v>35</v>
      </c>
      <c r="W342" t="s">
        <v>75</v>
      </c>
      <c r="X342" t="s">
        <v>3314</v>
      </c>
      <c r="Y342" t="s">
        <v>3315</v>
      </c>
      <c r="Z342" t="s">
        <v>3245</v>
      </c>
    </row>
    <row r="343" spans="1:26" x14ac:dyDescent="0.2">
      <c r="A343">
        <v>339</v>
      </c>
      <c r="B343" t="s">
        <v>3316</v>
      </c>
      <c r="C343">
        <v>2019</v>
      </c>
      <c r="D343" t="s">
        <v>65</v>
      </c>
      <c r="E343" t="s">
        <v>1961</v>
      </c>
      <c r="F343" t="s">
        <v>3317</v>
      </c>
      <c r="G343" t="s">
        <v>492</v>
      </c>
      <c r="H343" t="s">
        <v>3318</v>
      </c>
      <c r="K343" t="s">
        <v>228</v>
      </c>
      <c r="L343" s="1">
        <v>46149</v>
      </c>
      <c r="M343" t="s">
        <v>1270</v>
      </c>
      <c r="N343">
        <v>65351</v>
      </c>
      <c r="O343" t="s">
        <v>179</v>
      </c>
      <c r="P343" t="s">
        <v>271</v>
      </c>
      <c r="Q343">
        <v>183</v>
      </c>
      <c r="R343" t="s">
        <v>54</v>
      </c>
      <c r="S343" t="s">
        <v>3319</v>
      </c>
      <c r="T343">
        <v>82</v>
      </c>
      <c r="U343" t="s">
        <v>3320</v>
      </c>
      <c r="V343" t="s">
        <v>484</v>
      </c>
      <c r="W343" t="s">
        <v>1502</v>
      </c>
      <c r="X343" t="s">
        <v>3321</v>
      </c>
      <c r="Y343" t="s">
        <v>3322</v>
      </c>
      <c r="Z343" t="s">
        <v>3245</v>
      </c>
    </row>
    <row r="344" spans="1:26" x14ac:dyDescent="0.2">
      <c r="A344">
        <v>340</v>
      </c>
      <c r="B344" t="s">
        <v>3323</v>
      </c>
      <c r="C344">
        <v>1973</v>
      </c>
      <c r="D344" t="s">
        <v>3324</v>
      </c>
      <c r="E344" t="s">
        <v>1675</v>
      </c>
      <c r="F344" t="s">
        <v>3325</v>
      </c>
      <c r="G344" t="s">
        <v>30</v>
      </c>
      <c r="H344" t="s">
        <v>3326</v>
      </c>
      <c r="I344" t="s">
        <v>3327</v>
      </c>
      <c r="J344" t="s">
        <v>216</v>
      </c>
      <c r="K344" t="s">
        <v>250</v>
      </c>
      <c r="L344" s="1">
        <v>46030</v>
      </c>
      <c r="M344" t="s">
        <v>228</v>
      </c>
      <c r="N344">
        <v>474628</v>
      </c>
      <c r="O344" t="s">
        <v>204</v>
      </c>
      <c r="P344" t="s">
        <v>107</v>
      </c>
      <c r="Q344">
        <v>124</v>
      </c>
      <c r="R344" t="s">
        <v>271</v>
      </c>
      <c r="S344" t="s">
        <v>3328</v>
      </c>
      <c r="T344">
        <v>80</v>
      </c>
      <c r="U344" t="s">
        <v>3329</v>
      </c>
      <c r="V344" t="s">
        <v>484</v>
      </c>
      <c r="W344" t="s">
        <v>135</v>
      </c>
      <c r="X344" t="s">
        <v>3330</v>
      </c>
      <c r="Y344" t="s">
        <v>3331</v>
      </c>
      <c r="Z344" t="s">
        <v>250</v>
      </c>
    </row>
    <row r="345" spans="1:26" x14ac:dyDescent="0.2">
      <c r="A345">
        <v>341</v>
      </c>
      <c r="B345" t="s">
        <v>3332</v>
      </c>
      <c r="C345">
        <v>2014</v>
      </c>
      <c r="D345" t="s">
        <v>3333</v>
      </c>
      <c r="E345" t="s">
        <v>3334</v>
      </c>
      <c r="F345" t="s">
        <v>3335</v>
      </c>
      <c r="G345" t="s">
        <v>492</v>
      </c>
      <c r="H345" t="s">
        <v>3336</v>
      </c>
      <c r="I345" t="s">
        <v>3337</v>
      </c>
      <c r="J345" t="s">
        <v>335</v>
      </c>
      <c r="K345" t="s">
        <v>228</v>
      </c>
      <c r="L345" s="1">
        <v>46030</v>
      </c>
      <c r="M345" t="s">
        <v>228</v>
      </c>
      <c r="N345">
        <v>226824</v>
      </c>
      <c r="O345" t="s">
        <v>1225</v>
      </c>
      <c r="P345" t="s">
        <v>484</v>
      </c>
      <c r="Q345">
        <v>124</v>
      </c>
      <c r="R345" t="s">
        <v>157</v>
      </c>
      <c r="S345" t="s">
        <v>3338</v>
      </c>
      <c r="T345">
        <v>82</v>
      </c>
      <c r="U345" t="s">
        <v>3339</v>
      </c>
      <c r="V345" t="s">
        <v>107</v>
      </c>
      <c r="W345" t="s">
        <v>3340</v>
      </c>
      <c r="X345" t="s">
        <v>3341</v>
      </c>
      <c r="Y345" t="s">
        <v>3342</v>
      </c>
      <c r="Z345" t="s">
        <v>250</v>
      </c>
    </row>
    <row r="346" spans="1:26" x14ac:dyDescent="0.2">
      <c r="A346">
        <v>342</v>
      </c>
      <c r="B346" t="s">
        <v>3343</v>
      </c>
      <c r="C346">
        <v>2013</v>
      </c>
      <c r="D346" t="s">
        <v>3344</v>
      </c>
      <c r="E346" t="s">
        <v>2298</v>
      </c>
      <c r="F346" t="s">
        <v>3345</v>
      </c>
      <c r="G346" t="s">
        <v>30</v>
      </c>
      <c r="H346" t="s">
        <v>3346</v>
      </c>
      <c r="I346" t="s">
        <v>3347</v>
      </c>
      <c r="J346" t="s">
        <v>216</v>
      </c>
      <c r="K346" t="s">
        <v>250</v>
      </c>
      <c r="L346" s="1">
        <v>46210</v>
      </c>
      <c r="M346" t="s">
        <v>1225</v>
      </c>
      <c r="N346">
        <v>879467</v>
      </c>
      <c r="O346" t="s">
        <v>37</v>
      </c>
      <c r="P346" t="s">
        <v>35</v>
      </c>
      <c r="Q346">
        <v>304</v>
      </c>
      <c r="R346" t="s">
        <v>757</v>
      </c>
      <c r="S346" t="s">
        <v>3348</v>
      </c>
      <c r="T346">
        <v>70</v>
      </c>
      <c r="U346" t="s">
        <v>3349</v>
      </c>
      <c r="V346" t="s">
        <v>484</v>
      </c>
      <c r="W346" t="s">
        <v>135</v>
      </c>
      <c r="X346" t="s">
        <v>3350</v>
      </c>
      <c r="Y346" t="s">
        <v>3351</v>
      </c>
      <c r="Z346" t="s">
        <v>250</v>
      </c>
    </row>
    <row r="347" spans="1:26" x14ac:dyDescent="0.2">
      <c r="A347">
        <v>343</v>
      </c>
      <c r="B347" t="s">
        <v>3352</v>
      </c>
      <c r="C347">
        <v>1932</v>
      </c>
      <c r="D347" t="s">
        <v>3353</v>
      </c>
      <c r="E347" t="s">
        <v>3354</v>
      </c>
      <c r="F347" t="s">
        <v>3355</v>
      </c>
      <c r="G347" t="s">
        <v>30</v>
      </c>
      <c r="H347" t="s">
        <v>3356</v>
      </c>
      <c r="I347" t="s">
        <v>2499</v>
      </c>
      <c r="J347" t="s">
        <v>239</v>
      </c>
      <c r="K347" t="s">
        <v>250</v>
      </c>
      <c r="L347" s="1">
        <v>46241</v>
      </c>
      <c r="M347" t="s">
        <v>757</v>
      </c>
      <c r="N347">
        <v>52529</v>
      </c>
      <c r="O347" t="s">
        <v>304</v>
      </c>
      <c r="P347" t="s">
        <v>107</v>
      </c>
      <c r="Q347">
        <v>56</v>
      </c>
      <c r="R347" t="s">
        <v>107</v>
      </c>
      <c r="S347" t="s">
        <v>3357</v>
      </c>
      <c r="T347">
        <v>78</v>
      </c>
      <c r="U347" t="s">
        <v>3358</v>
      </c>
      <c r="V347" t="s">
        <v>54</v>
      </c>
      <c r="W347" t="s">
        <v>75</v>
      </c>
      <c r="X347" t="s">
        <v>3359</v>
      </c>
      <c r="Y347" t="s">
        <v>3360</v>
      </c>
      <c r="Z347" t="s">
        <v>250</v>
      </c>
    </row>
    <row r="348" spans="1:26" x14ac:dyDescent="0.2">
      <c r="A348">
        <v>344</v>
      </c>
      <c r="B348" t="s">
        <v>3361</v>
      </c>
      <c r="C348">
        <v>2009</v>
      </c>
      <c r="D348" t="s">
        <v>288</v>
      </c>
      <c r="E348" t="s">
        <v>153</v>
      </c>
      <c r="F348" t="s">
        <v>3362</v>
      </c>
      <c r="G348" t="s">
        <v>155</v>
      </c>
      <c r="H348" t="s">
        <v>3363</v>
      </c>
      <c r="I348" t="s">
        <v>3364</v>
      </c>
      <c r="J348" t="s">
        <v>2341</v>
      </c>
      <c r="K348" t="s">
        <v>228</v>
      </c>
      <c r="L348" s="1">
        <v>46210</v>
      </c>
      <c r="M348" t="s">
        <v>1225</v>
      </c>
      <c r="N348">
        <v>75873</v>
      </c>
      <c r="O348" t="s">
        <v>484</v>
      </c>
      <c r="P348" t="s">
        <v>484</v>
      </c>
      <c r="Q348">
        <v>92</v>
      </c>
      <c r="R348" t="s">
        <v>107</v>
      </c>
      <c r="S348" t="s">
        <v>3365</v>
      </c>
      <c r="T348">
        <v>84</v>
      </c>
      <c r="U348" t="s">
        <v>3366</v>
      </c>
      <c r="V348" t="s">
        <v>157</v>
      </c>
      <c r="W348" t="s">
        <v>75</v>
      </c>
      <c r="X348" t="s">
        <v>3367</v>
      </c>
      <c r="Y348" t="s">
        <v>3368</v>
      </c>
      <c r="Z348" t="s">
        <v>250</v>
      </c>
    </row>
    <row r="349" spans="1:26" x14ac:dyDescent="0.2">
      <c r="A349">
        <v>345</v>
      </c>
      <c r="B349" t="s">
        <v>3369</v>
      </c>
      <c r="C349">
        <v>2015</v>
      </c>
      <c r="D349" t="s">
        <v>65</v>
      </c>
      <c r="E349" t="s">
        <v>3370</v>
      </c>
      <c r="F349" t="s">
        <v>3371</v>
      </c>
      <c r="G349" t="s">
        <v>2680</v>
      </c>
      <c r="H349" t="s">
        <v>3372</v>
      </c>
      <c r="K349" t="s">
        <v>228</v>
      </c>
      <c r="L349" s="1">
        <v>46180</v>
      </c>
      <c r="M349" t="s">
        <v>1241</v>
      </c>
      <c r="N349">
        <v>41838</v>
      </c>
      <c r="O349" t="s">
        <v>204</v>
      </c>
      <c r="P349" t="s">
        <v>250</v>
      </c>
      <c r="Q349">
        <v>115</v>
      </c>
      <c r="R349" t="s">
        <v>107</v>
      </c>
      <c r="S349" t="s">
        <v>3373</v>
      </c>
      <c r="T349">
        <v>84</v>
      </c>
      <c r="U349" t="s">
        <v>3374</v>
      </c>
      <c r="V349" t="s">
        <v>250</v>
      </c>
      <c r="W349" t="s">
        <v>1186</v>
      </c>
      <c r="X349" t="s">
        <v>3375</v>
      </c>
      <c r="Y349" t="s">
        <v>3376</v>
      </c>
      <c r="Z349" t="s">
        <v>250</v>
      </c>
    </row>
    <row r="350" spans="1:26" x14ac:dyDescent="0.2">
      <c r="A350">
        <v>346</v>
      </c>
      <c r="B350" t="s">
        <v>3377</v>
      </c>
      <c r="C350">
        <v>2022</v>
      </c>
      <c r="D350" t="s">
        <v>1304</v>
      </c>
      <c r="E350" t="s">
        <v>3378</v>
      </c>
      <c r="F350" t="s">
        <v>3379</v>
      </c>
      <c r="G350" t="s">
        <v>30</v>
      </c>
      <c r="H350" t="s">
        <v>3380</v>
      </c>
      <c r="K350" t="s">
        <v>250</v>
      </c>
      <c r="L350" s="1">
        <v>46241</v>
      </c>
      <c r="M350" t="s">
        <v>757</v>
      </c>
      <c r="N350">
        <v>577409</v>
      </c>
      <c r="O350" t="s">
        <v>228</v>
      </c>
      <c r="P350" t="s">
        <v>107</v>
      </c>
      <c r="Q350">
        <v>246</v>
      </c>
      <c r="S350" t="s">
        <v>3381</v>
      </c>
      <c r="T350">
        <v>86</v>
      </c>
      <c r="U350" t="s">
        <v>3382</v>
      </c>
      <c r="V350" t="s">
        <v>304</v>
      </c>
      <c r="W350" t="s">
        <v>3383</v>
      </c>
      <c r="X350" t="s">
        <v>3384</v>
      </c>
      <c r="Y350" t="s">
        <v>3385</v>
      </c>
      <c r="Z350" t="s">
        <v>250</v>
      </c>
    </row>
    <row r="351" spans="1:26" x14ac:dyDescent="0.2">
      <c r="A351">
        <v>347</v>
      </c>
      <c r="B351" t="s">
        <v>3386</v>
      </c>
      <c r="C351">
        <v>2023</v>
      </c>
      <c r="D351" t="s">
        <v>3387</v>
      </c>
      <c r="E351" t="s">
        <v>3388</v>
      </c>
      <c r="F351" t="s">
        <v>3389</v>
      </c>
      <c r="G351" t="s">
        <v>30</v>
      </c>
      <c r="H351" t="s">
        <v>3390</v>
      </c>
      <c r="K351" t="s">
        <v>250</v>
      </c>
      <c r="L351" s="1">
        <v>46241</v>
      </c>
      <c r="M351" t="s">
        <v>757</v>
      </c>
      <c r="N351">
        <v>334198</v>
      </c>
      <c r="O351" t="s">
        <v>157</v>
      </c>
      <c r="P351" t="s">
        <v>54</v>
      </c>
      <c r="Q351">
        <v>223</v>
      </c>
      <c r="S351" t="s">
        <v>3391</v>
      </c>
      <c r="T351">
        <v>80</v>
      </c>
      <c r="U351" t="s">
        <v>3392</v>
      </c>
      <c r="V351" t="s">
        <v>757</v>
      </c>
      <c r="W351" t="s">
        <v>2216</v>
      </c>
      <c r="X351" t="s">
        <v>3393</v>
      </c>
      <c r="Y351" t="s">
        <v>3394</v>
      </c>
      <c r="Z351" t="s">
        <v>250</v>
      </c>
    </row>
    <row r="352" spans="1:26" x14ac:dyDescent="0.2">
      <c r="A352">
        <v>348</v>
      </c>
      <c r="B352" t="s">
        <v>3395</v>
      </c>
      <c r="C352">
        <v>2018</v>
      </c>
      <c r="D352" t="s">
        <v>3396</v>
      </c>
      <c r="E352" t="s">
        <v>3397</v>
      </c>
      <c r="F352" t="s">
        <v>3398</v>
      </c>
      <c r="G352" t="s">
        <v>3399</v>
      </c>
      <c r="H352" t="s">
        <v>3400</v>
      </c>
      <c r="K352" t="s">
        <v>250</v>
      </c>
      <c r="L352" s="1">
        <v>46149</v>
      </c>
      <c r="M352" t="s">
        <v>1270</v>
      </c>
      <c r="N352">
        <v>63652</v>
      </c>
      <c r="O352" t="s">
        <v>41</v>
      </c>
      <c r="P352" t="s">
        <v>107</v>
      </c>
      <c r="Q352">
        <v>163</v>
      </c>
      <c r="R352" t="s">
        <v>757</v>
      </c>
      <c r="S352" t="s">
        <v>3401</v>
      </c>
      <c r="T352">
        <v>80</v>
      </c>
      <c r="U352" t="s">
        <v>3402</v>
      </c>
      <c r="V352" t="s">
        <v>204</v>
      </c>
      <c r="W352" t="s">
        <v>1858</v>
      </c>
      <c r="X352" t="s">
        <v>3403</v>
      </c>
      <c r="Y352" t="s">
        <v>3404</v>
      </c>
      <c r="Z352" t="s">
        <v>3405</v>
      </c>
    </row>
    <row r="353" spans="1:26" x14ac:dyDescent="0.2">
      <c r="A353">
        <v>349</v>
      </c>
      <c r="B353" t="s">
        <v>3406</v>
      </c>
      <c r="C353">
        <v>2012</v>
      </c>
      <c r="D353" t="s">
        <v>1515</v>
      </c>
      <c r="E353" t="s">
        <v>2242</v>
      </c>
      <c r="F353" t="s">
        <v>3407</v>
      </c>
      <c r="G353" t="s">
        <v>30</v>
      </c>
      <c r="H353" t="s">
        <v>3408</v>
      </c>
      <c r="I353" t="s">
        <v>3409</v>
      </c>
      <c r="J353" t="s">
        <v>53</v>
      </c>
      <c r="K353" t="s">
        <v>250</v>
      </c>
      <c r="L353" s="1">
        <v>46119</v>
      </c>
      <c r="M353" t="s">
        <v>1930</v>
      </c>
      <c r="N353">
        <v>329226</v>
      </c>
      <c r="O353" t="s">
        <v>38</v>
      </c>
      <c r="P353" t="s">
        <v>157</v>
      </c>
      <c r="Q353">
        <v>238</v>
      </c>
      <c r="R353" t="s">
        <v>1225</v>
      </c>
      <c r="S353" t="s">
        <v>3410</v>
      </c>
      <c r="T353">
        <v>74</v>
      </c>
      <c r="U353" t="s">
        <v>3411</v>
      </c>
      <c r="V353" t="s">
        <v>204</v>
      </c>
      <c r="W353" t="s">
        <v>2778</v>
      </c>
      <c r="X353" t="s">
        <v>3412</v>
      </c>
      <c r="Y353" t="s">
        <v>3413</v>
      </c>
      <c r="Z353" t="s">
        <v>3405</v>
      </c>
    </row>
    <row r="354" spans="1:26" x14ac:dyDescent="0.2">
      <c r="A354">
        <v>350</v>
      </c>
      <c r="B354" t="s">
        <v>3414</v>
      </c>
      <c r="C354">
        <v>1993</v>
      </c>
      <c r="D354" t="s">
        <v>3415</v>
      </c>
      <c r="E354" t="s">
        <v>81</v>
      </c>
      <c r="F354" t="s">
        <v>3416</v>
      </c>
      <c r="G354" t="s">
        <v>30</v>
      </c>
      <c r="H354" t="s">
        <v>3417</v>
      </c>
      <c r="I354" t="s">
        <v>3418</v>
      </c>
      <c r="J354" t="s">
        <v>3419</v>
      </c>
      <c r="K354" t="s">
        <v>228</v>
      </c>
      <c r="L354" s="1">
        <v>46061</v>
      </c>
      <c r="M354" t="s">
        <v>250</v>
      </c>
      <c r="N354">
        <v>1111146</v>
      </c>
      <c r="O354" t="s">
        <v>3074</v>
      </c>
      <c r="P354" t="s">
        <v>228</v>
      </c>
      <c r="Q354">
        <v>100</v>
      </c>
      <c r="R354" t="s">
        <v>157</v>
      </c>
      <c r="S354" t="s">
        <v>3420</v>
      </c>
      <c r="T354">
        <v>82</v>
      </c>
      <c r="U354" t="s">
        <v>3421</v>
      </c>
      <c r="V354" t="s">
        <v>41</v>
      </c>
      <c r="W354" t="s">
        <v>135</v>
      </c>
      <c r="X354" t="s">
        <v>3422</v>
      </c>
      <c r="Y354" t="s">
        <v>3423</v>
      </c>
      <c r="Z354" t="s">
        <v>3405</v>
      </c>
    </row>
    <row r="355" spans="1:26" x14ac:dyDescent="0.2">
      <c r="A355">
        <v>351</v>
      </c>
      <c r="B355" t="s">
        <v>3424</v>
      </c>
      <c r="C355">
        <v>2018</v>
      </c>
      <c r="D355" t="s">
        <v>3425</v>
      </c>
      <c r="E355" t="s">
        <v>3426</v>
      </c>
      <c r="F355" t="s">
        <v>3427</v>
      </c>
      <c r="G355" t="s">
        <v>30</v>
      </c>
      <c r="H355" t="s">
        <v>3428</v>
      </c>
      <c r="K355" t="s">
        <v>228</v>
      </c>
      <c r="L355" s="1">
        <v>46210</v>
      </c>
      <c r="M355" t="s">
        <v>1225</v>
      </c>
      <c r="N355">
        <v>392851</v>
      </c>
      <c r="O355" t="s">
        <v>179</v>
      </c>
      <c r="P355" t="s">
        <v>107</v>
      </c>
      <c r="Q355">
        <v>265</v>
      </c>
      <c r="R355" t="s">
        <v>271</v>
      </c>
      <c r="S355" t="s">
        <v>3429</v>
      </c>
      <c r="T355">
        <v>80</v>
      </c>
      <c r="U355" t="s">
        <v>3430</v>
      </c>
      <c r="V355" t="s">
        <v>757</v>
      </c>
      <c r="W355" t="s">
        <v>42</v>
      </c>
      <c r="X355" t="s">
        <v>3431</v>
      </c>
      <c r="Y355" t="s">
        <v>3432</v>
      </c>
      <c r="Z355" t="s">
        <v>3405</v>
      </c>
    </row>
    <row r="356" spans="1:26" x14ac:dyDescent="0.2">
      <c r="A356">
        <v>352</v>
      </c>
      <c r="B356" t="s">
        <v>3433</v>
      </c>
      <c r="C356">
        <v>1973</v>
      </c>
      <c r="D356" t="s">
        <v>992</v>
      </c>
      <c r="E356" t="s">
        <v>510</v>
      </c>
      <c r="F356" t="s">
        <v>3434</v>
      </c>
      <c r="G356" t="s">
        <v>30</v>
      </c>
      <c r="H356" t="s">
        <v>3435</v>
      </c>
      <c r="I356" t="s">
        <v>3436</v>
      </c>
      <c r="J356" t="s">
        <v>85</v>
      </c>
      <c r="K356" t="s">
        <v>250</v>
      </c>
      <c r="L356" s="1">
        <v>46119</v>
      </c>
      <c r="M356" t="s">
        <v>1930</v>
      </c>
      <c r="N356">
        <v>101611</v>
      </c>
      <c r="O356" t="s">
        <v>56</v>
      </c>
      <c r="P356" t="s">
        <v>157</v>
      </c>
      <c r="Q356">
        <v>51</v>
      </c>
      <c r="R356" t="s">
        <v>304</v>
      </c>
      <c r="S356" t="s">
        <v>3437</v>
      </c>
      <c r="T356">
        <v>74</v>
      </c>
      <c r="U356" t="s">
        <v>3438</v>
      </c>
      <c r="V356" t="s">
        <v>757</v>
      </c>
      <c r="W356" t="s">
        <v>75</v>
      </c>
      <c r="X356" t="s">
        <v>3439</v>
      </c>
      <c r="Y356" t="s">
        <v>3440</v>
      </c>
      <c r="Z356" t="s">
        <v>3405</v>
      </c>
    </row>
    <row r="357" spans="1:26" x14ac:dyDescent="0.2">
      <c r="A357">
        <v>353</v>
      </c>
      <c r="B357" t="s">
        <v>3441</v>
      </c>
      <c r="C357">
        <v>2004</v>
      </c>
      <c r="D357" t="s">
        <v>3442</v>
      </c>
      <c r="E357" t="s">
        <v>3063</v>
      </c>
      <c r="F357" t="s">
        <v>3443</v>
      </c>
      <c r="G357" t="s">
        <v>1221</v>
      </c>
      <c r="H357" t="s">
        <v>3444</v>
      </c>
      <c r="I357" t="s">
        <v>3445</v>
      </c>
      <c r="J357" t="s">
        <v>335</v>
      </c>
      <c r="K357" t="s">
        <v>250</v>
      </c>
      <c r="L357" s="1">
        <v>46149</v>
      </c>
      <c r="M357" t="s">
        <v>1270</v>
      </c>
      <c r="N357">
        <v>117784</v>
      </c>
      <c r="O357" t="s">
        <v>97</v>
      </c>
      <c r="P357" t="s">
        <v>304</v>
      </c>
      <c r="Q357">
        <v>115</v>
      </c>
      <c r="R357" t="s">
        <v>484</v>
      </c>
      <c r="S357" t="s">
        <v>3446</v>
      </c>
      <c r="T357">
        <v>76</v>
      </c>
      <c r="U357" t="s">
        <v>3447</v>
      </c>
      <c r="V357" t="s">
        <v>35</v>
      </c>
      <c r="W357" t="s">
        <v>75</v>
      </c>
      <c r="X357" t="s">
        <v>3448</v>
      </c>
      <c r="Y357" t="s">
        <v>3449</v>
      </c>
      <c r="Z357" t="s">
        <v>3405</v>
      </c>
    </row>
    <row r="358" spans="1:26" x14ac:dyDescent="0.2">
      <c r="A358">
        <v>354</v>
      </c>
      <c r="B358" t="s">
        <v>3450</v>
      </c>
      <c r="C358">
        <v>2006</v>
      </c>
      <c r="D358" t="s">
        <v>126</v>
      </c>
      <c r="E358" t="s">
        <v>1961</v>
      </c>
      <c r="F358" t="s">
        <v>3451</v>
      </c>
      <c r="G358" t="s">
        <v>492</v>
      </c>
      <c r="H358" t="s">
        <v>3452</v>
      </c>
      <c r="I358" t="s">
        <v>3453</v>
      </c>
      <c r="J358" t="s">
        <v>335</v>
      </c>
      <c r="K358" t="s">
        <v>228</v>
      </c>
      <c r="L358" s="1">
        <v>46180</v>
      </c>
      <c r="M358" t="s">
        <v>1241</v>
      </c>
      <c r="N358">
        <v>109883</v>
      </c>
      <c r="O358" t="s">
        <v>271</v>
      </c>
      <c r="P358" t="s">
        <v>304</v>
      </c>
      <c r="Q358">
        <v>97</v>
      </c>
      <c r="R358" t="s">
        <v>107</v>
      </c>
      <c r="S358" t="s">
        <v>3454</v>
      </c>
      <c r="T358">
        <v>82</v>
      </c>
      <c r="U358" t="s">
        <v>3455</v>
      </c>
      <c r="V358" t="s">
        <v>271</v>
      </c>
      <c r="W358" t="s">
        <v>75</v>
      </c>
      <c r="X358" t="s">
        <v>3456</v>
      </c>
      <c r="Y358" t="s">
        <v>3457</v>
      </c>
      <c r="Z358" t="s">
        <v>3405</v>
      </c>
    </row>
    <row r="359" spans="1:26" x14ac:dyDescent="0.2">
      <c r="A359">
        <v>355</v>
      </c>
      <c r="B359" t="s">
        <v>3458</v>
      </c>
      <c r="C359">
        <v>2013</v>
      </c>
      <c r="D359" t="s">
        <v>448</v>
      </c>
      <c r="E359" t="s">
        <v>1020</v>
      </c>
      <c r="F359" t="s">
        <v>3459</v>
      </c>
      <c r="G359" t="s">
        <v>30</v>
      </c>
      <c r="H359" t="s">
        <v>3460</v>
      </c>
      <c r="I359" t="s">
        <v>3461</v>
      </c>
      <c r="J359" t="s">
        <v>3462</v>
      </c>
      <c r="K359" t="s">
        <v>204</v>
      </c>
      <c r="L359" s="1">
        <v>46119</v>
      </c>
      <c r="M359" t="s">
        <v>1930</v>
      </c>
      <c r="N359">
        <v>167445</v>
      </c>
      <c r="O359" t="s">
        <v>34</v>
      </c>
      <c r="P359" t="s">
        <v>179</v>
      </c>
      <c r="Q359">
        <v>211</v>
      </c>
      <c r="R359" t="s">
        <v>2978</v>
      </c>
      <c r="S359" t="s">
        <v>3463</v>
      </c>
      <c r="T359">
        <v>80</v>
      </c>
      <c r="U359" t="s">
        <v>3464</v>
      </c>
      <c r="V359" t="s">
        <v>271</v>
      </c>
      <c r="W359" t="s">
        <v>75</v>
      </c>
      <c r="X359" t="s">
        <v>3465</v>
      </c>
      <c r="Y359" t="s">
        <v>3466</v>
      </c>
      <c r="Z359" t="s">
        <v>3405</v>
      </c>
    </row>
    <row r="360" spans="1:26" x14ac:dyDescent="0.2">
      <c r="A360">
        <v>356</v>
      </c>
      <c r="B360" t="s">
        <v>3467</v>
      </c>
      <c r="C360">
        <v>2020</v>
      </c>
      <c r="D360" t="s">
        <v>448</v>
      </c>
      <c r="E360" t="s">
        <v>3468</v>
      </c>
      <c r="F360" t="s">
        <v>3469</v>
      </c>
      <c r="G360" t="s">
        <v>30</v>
      </c>
      <c r="H360" t="s">
        <v>3470</v>
      </c>
      <c r="K360" t="s">
        <v>228</v>
      </c>
      <c r="L360" s="1">
        <v>46210</v>
      </c>
      <c r="M360" t="s">
        <v>1225</v>
      </c>
      <c r="N360">
        <v>159056</v>
      </c>
      <c r="O360" t="s">
        <v>250</v>
      </c>
      <c r="P360" t="s">
        <v>250</v>
      </c>
      <c r="Q360">
        <v>172</v>
      </c>
      <c r="R360" t="s">
        <v>179</v>
      </c>
      <c r="S360" t="s">
        <v>3471</v>
      </c>
      <c r="T360">
        <v>84</v>
      </c>
      <c r="U360" t="s">
        <v>3472</v>
      </c>
      <c r="V360" t="s">
        <v>484</v>
      </c>
      <c r="W360" t="s">
        <v>2216</v>
      </c>
      <c r="Y360" t="s">
        <v>3473</v>
      </c>
      <c r="Z360" t="s">
        <v>3405</v>
      </c>
    </row>
    <row r="361" spans="1:26" x14ac:dyDescent="0.2">
      <c r="A361">
        <v>357</v>
      </c>
      <c r="B361" t="s">
        <v>3474</v>
      </c>
      <c r="C361">
        <v>2013</v>
      </c>
      <c r="D361" t="s">
        <v>519</v>
      </c>
      <c r="E361" t="s">
        <v>3475</v>
      </c>
      <c r="F361" t="s">
        <v>3476</v>
      </c>
      <c r="G361" t="s">
        <v>30</v>
      </c>
      <c r="H361" t="s">
        <v>3477</v>
      </c>
      <c r="I361" t="s">
        <v>3478</v>
      </c>
      <c r="J361" t="s">
        <v>614</v>
      </c>
      <c r="K361" t="s">
        <v>228</v>
      </c>
      <c r="L361" s="1">
        <v>46272</v>
      </c>
      <c r="M361" t="s">
        <v>484</v>
      </c>
      <c r="N361">
        <v>533167</v>
      </c>
      <c r="O361" t="s">
        <v>1225</v>
      </c>
      <c r="P361" t="s">
        <v>757</v>
      </c>
      <c r="Q361">
        <v>186</v>
      </c>
      <c r="R361" t="s">
        <v>157</v>
      </c>
      <c r="S361" t="s">
        <v>3479</v>
      </c>
      <c r="T361">
        <v>80</v>
      </c>
      <c r="U361" t="s">
        <v>3480</v>
      </c>
      <c r="V361" t="s">
        <v>97</v>
      </c>
      <c r="W361" t="s">
        <v>253</v>
      </c>
      <c r="X361" t="s">
        <v>3481</v>
      </c>
      <c r="Y361" t="s">
        <v>3482</v>
      </c>
      <c r="Z361" t="s">
        <v>3405</v>
      </c>
    </row>
    <row r="362" spans="1:26" x14ac:dyDescent="0.2">
      <c r="A362">
        <v>358</v>
      </c>
      <c r="B362" t="s">
        <v>3483</v>
      </c>
      <c r="C362">
        <v>2015</v>
      </c>
      <c r="D362" t="s">
        <v>3484</v>
      </c>
      <c r="E362" t="s">
        <v>549</v>
      </c>
      <c r="F362" t="s">
        <v>3485</v>
      </c>
      <c r="G362" t="s">
        <v>30</v>
      </c>
      <c r="H362" t="s">
        <v>3486</v>
      </c>
      <c r="J362" t="s">
        <v>312</v>
      </c>
      <c r="K362" t="s">
        <v>228</v>
      </c>
      <c r="L362" t="s">
        <v>564</v>
      </c>
      <c r="M362" t="s">
        <v>304</v>
      </c>
      <c r="N362">
        <v>963094</v>
      </c>
      <c r="O362" t="s">
        <v>304</v>
      </c>
      <c r="P362" t="s">
        <v>484</v>
      </c>
      <c r="Q362">
        <v>270</v>
      </c>
      <c r="R362" t="s">
        <v>179</v>
      </c>
      <c r="S362" t="s">
        <v>3487</v>
      </c>
      <c r="T362">
        <v>76</v>
      </c>
      <c r="U362" t="s">
        <v>3488</v>
      </c>
      <c r="V362" t="s">
        <v>97</v>
      </c>
      <c r="W362" t="s">
        <v>2778</v>
      </c>
      <c r="Y362" t="s">
        <v>3489</v>
      </c>
      <c r="Z362" t="s">
        <v>3405</v>
      </c>
    </row>
    <row r="363" spans="1:26" x14ac:dyDescent="0.2">
      <c r="A363">
        <v>359</v>
      </c>
      <c r="B363" t="s">
        <v>3490</v>
      </c>
      <c r="C363">
        <v>1995</v>
      </c>
      <c r="D363" t="s">
        <v>593</v>
      </c>
      <c r="E363" t="s">
        <v>174</v>
      </c>
      <c r="F363" t="s">
        <v>3491</v>
      </c>
      <c r="G363" t="s">
        <v>30</v>
      </c>
      <c r="H363" t="s">
        <v>3492</v>
      </c>
      <c r="I363" t="s">
        <v>3493</v>
      </c>
      <c r="J363" t="s">
        <v>85</v>
      </c>
      <c r="K363" t="s">
        <v>304</v>
      </c>
      <c r="L363" s="1">
        <v>46061</v>
      </c>
      <c r="M363" t="s">
        <v>250</v>
      </c>
      <c r="N363">
        <v>588163</v>
      </c>
      <c r="O363" t="s">
        <v>2978</v>
      </c>
      <c r="P363" t="s">
        <v>1551</v>
      </c>
      <c r="Q363">
        <v>51</v>
      </c>
      <c r="R363" t="s">
        <v>97</v>
      </c>
      <c r="S363" t="s">
        <v>3494</v>
      </c>
      <c r="T363">
        <v>84</v>
      </c>
      <c r="U363" t="s">
        <v>3495</v>
      </c>
      <c r="V363" t="s">
        <v>74</v>
      </c>
      <c r="W363" t="s">
        <v>2637</v>
      </c>
      <c r="X363" t="s">
        <v>3496</v>
      </c>
      <c r="Y363" t="s">
        <v>3497</v>
      </c>
      <c r="Z363" t="s">
        <v>3405</v>
      </c>
    </row>
    <row r="364" spans="1:26" x14ac:dyDescent="0.2">
      <c r="A364">
        <v>360</v>
      </c>
      <c r="B364" t="s">
        <v>3498</v>
      </c>
      <c r="C364">
        <v>1960</v>
      </c>
      <c r="D364" t="s">
        <v>3499</v>
      </c>
      <c r="E364" t="s">
        <v>3500</v>
      </c>
      <c r="F364" t="s">
        <v>3501</v>
      </c>
      <c r="G364" t="s">
        <v>30</v>
      </c>
      <c r="H364" t="s">
        <v>3502</v>
      </c>
      <c r="J364" t="s">
        <v>3503</v>
      </c>
      <c r="K364" t="s">
        <v>228</v>
      </c>
      <c r="L364" s="1">
        <v>46180</v>
      </c>
      <c r="M364" t="s">
        <v>1241</v>
      </c>
      <c r="N364">
        <v>41700</v>
      </c>
      <c r="P364" t="s">
        <v>157</v>
      </c>
      <c r="Q364">
        <v>51</v>
      </c>
      <c r="R364" t="s">
        <v>250</v>
      </c>
      <c r="S364" t="s">
        <v>3504</v>
      </c>
      <c r="T364">
        <v>80</v>
      </c>
      <c r="U364" t="s">
        <v>3505</v>
      </c>
      <c r="V364" t="s">
        <v>204</v>
      </c>
      <c r="W364" t="s">
        <v>75</v>
      </c>
      <c r="X364" t="s">
        <v>3506</v>
      </c>
      <c r="Y364" t="s">
        <v>3507</v>
      </c>
      <c r="Z364" t="s">
        <v>3508</v>
      </c>
    </row>
    <row r="365" spans="1:26" x14ac:dyDescent="0.2">
      <c r="A365">
        <v>361</v>
      </c>
      <c r="B365" t="s">
        <v>3509</v>
      </c>
      <c r="C365">
        <v>2010</v>
      </c>
      <c r="D365" t="s">
        <v>2545</v>
      </c>
      <c r="E365" t="s">
        <v>3033</v>
      </c>
      <c r="F365" t="s">
        <v>3510</v>
      </c>
      <c r="G365" t="s">
        <v>30</v>
      </c>
      <c r="H365" t="s">
        <v>3511</v>
      </c>
      <c r="I365" t="s">
        <v>3512</v>
      </c>
      <c r="J365" t="s">
        <v>1462</v>
      </c>
      <c r="K365" t="s">
        <v>250</v>
      </c>
      <c r="L365" t="s">
        <v>564</v>
      </c>
      <c r="M365" t="s">
        <v>304</v>
      </c>
      <c r="N365">
        <v>854775</v>
      </c>
      <c r="O365" t="s">
        <v>484</v>
      </c>
      <c r="P365" t="s">
        <v>228</v>
      </c>
      <c r="Q365">
        <v>266</v>
      </c>
      <c r="R365" t="s">
        <v>250</v>
      </c>
      <c r="S365" t="s">
        <v>3513</v>
      </c>
      <c r="T365">
        <v>84</v>
      </c>
      <c r="U365" t="s">
        <v>3514</v>
      </c>
      <c r="V365" t="s">
        <v>271</v>
      </c>
      <c r="W365" t="s">
        <v>75</v>
      </c>
      <c r="X365" t="s">
        <v>3515</v>
      </c>
      <c r="Y365" t="s">
        <v>3516</v>
      </c>
      <c r="Z365" t="s">
        <v>3517</v>
      </c>
    </row>
    <row r="366" spans="1:26" x14ac:dyDescent="0.2">
      <c r="A366">
        <v>362</v>
      </c>
      <c r="B366" t="s">
        <v>3518</v>
      </c>
      <c r="C366">
        <v>1973</v>
      </c>
      <c r="D366" t="s">
        <v>27</v>
      </c>
      <c r="E366" t="s">
        <v>174</v>
      </c>
      <c r="F366" t="s">
        <v>3519</v>
      </c>
      <c r="G366" t="s">
        <v>30</v>
      </c>
      <c r="H366" t="s">
        <v>3520</v>
      </c>
      <c r="I366" t="s">
        <v>3521</v>
      </c>
      <c r="J366" t="s">
        <v>178</v>
      </c>
      <c r="K366" t="s">
        <v>250</v>
      </c>
      <c r="L366" s="1">
        <v>46060</v>
      </c>
      <c r="M366" t="s">
        <v>1551</v>
      </c>
      <c r="N366">
        <v>123587</v>
      </c>
      <c r="O366" t="s">
        <v>37</v>
      </c>
      <c r="P366" t="s">
        <v>97</v>
      </c>
      <c r="Q366">
        <v>50</v>
      </c>
      <c r="R366" t="s">
        <v>304</v>
      </c>
      <c r="S366" t="s">
        <v>3522</v>
      </c>
      <c r="T366">
        <v>74</v>
      </c>
      <c r="U366" t="s">
        <v>3523</v>
      </c>
      <c r="V366" t="s">
        <v>484</v>
      </c>
      <c r="W366" t="s">
        <v>75</v>
      </c>
      <c r="X366" t="s">
        <v>3524</v>
      </c>
      <c r="Y366" t="s">
        <v>3525</v>
      </c>
      <c r="Z366" t="s">
        <v>3517</v>
      </c>
    </row>
    <row r="367" spans="1:26" x14ac:dyDescent="0.2">
      <c r="A367">
        <v>363</v>
      </c>
      <c r="B367" t="s">
        <v>3526</v>
      </c>
      <c r="C367">
        <v>2018</v>
      </c>
      <c r="D367" t="s">
        <v>3527</v>
      </c>
      <c r="E367" t="s">
        <v>1458</v>
      </c>
      <c r="F367" t="s">
        <v>3528</v>
      </c>
      <c r="G367" t="s">
        <v>30</v>
      </c>
      <c r="H367" t="s">
        <v>3529</v>
      </c>
      <c r="K367" t="s">
        <v>228</v>
      </c>
      <c r="L367" s="1">
        <v>46241</v>
      </c>
      <c r="M367" t="s">
        <v>757</v>
      </c>
      <c r="N367">
        <v>198804</v>
      </c>
      <c r="O367" t="s">
        <v>250</v>
      </c>
      <c r="P367" t="s">
        <v>228</v>
      </c>
      <c r="Q367">
        <v>224</v>
      </c>
      <c r="R367" t="s">
        <v>107</v>
      </c>
      <c r="S367" t="s">
        <v>3530</v>
      </c>
      <c r="T367">
        <v>80</v>
      </c>
      <c r="U367" t="s">
        <v>3531</v>
      </c>
      <c r="V367" t="s">
        <v>271</v>
      </c>
      <c r="W367" t="s">
        <v>444</v>
      </c>
      <c r="X367" t="s">
        <v>3532</v>
      </c>
      <c r="Y367" t="s">
        <v>3533</v>
      </c>
      <c r="Z367" t="s">
        <v>3517</v>
      </c>
    </row>
    <row r="368" spans="1:26" x14ac:dyDescent="0.2">
      <c r="A368">
        <v>364</v>
      </c>
      <c r="B368" t="s">
        <v>3534</v>
      </c>
      <c r="C368">
        <v>1940</v>
      </c>
      <c r="D368" t="s">
        <v>140</v>
      </c>
      <c r="E368" t="s">
        <v>3535</v>
      </c>
      <c r="F368" t="s">
        <v>3536</v>
      </c>
      <c r="G368" t="s">
        <v>30</v>
      </c>
      <c r="H368" t="s">
        <v>3537</v>
      </c>
      <c r="I368" t="s">
        <v>3538</v>
      </c>
      <c r="J368" t="s">
        <v>3539</v>
      </c>
      <c r="K368" t="s">
        <v>204</v>
      </c>
      <c r="L368" s="1">
        <v>46149</v>
      </c>
      <c r="M368" t="s">
        <v>1270</v>
      </c>
      <c r="N368">
        <v>165547</v>
      </c>
      <c r="O368" t="s">
        <v>132</v>
      </c>
      <c r="P368" t="s">
        <v>34</v>
      </c>
      <c r="Q368">
        <v>56</v>
      </c>
      <c r="R368" t="s">
        <v>1551</v>
      </c>
      <c r="S368" t="s">
        <v>3540</v>
      </c>
      <c r="T368">
        <v>70</v>
      </c>
      <c r="U368" t="s">
        <v>3541</v>
      </c>
      <c r="V368" t="s">
        <v>228</v>
      </c>
      <c r="W368" t="s">
        <v>444</v>
      </c>
      <c r="X368" t="s">
        <v>3542</v>
      </c>
      <c r="Y368" t="s">
        <v>3543</v>
      </c>
      <c r="Z368" t="s">
        <v>3517</v>
      </c>
    </row>
    <row r="369" spans="1:26" x14ac:dyDescent="0.2">
      <c r="A369">
        <v>365</v>
      </c>
      <c r="B369" t="s">
        <v>3544</v>
      </c>
      <c r="C369">
        <v>1982</v>
      </c>
      <c r="D369" t="s">
        <v>3545</v>
      </c>
      <c r="E369" t="s">
        <v>81</v>
      </c>
      <c r="F369" t="s">
        <v>3546</v>
      </c>
      <c r="G369" t="s">
        <v>30</v>
      </c>
      <c r="H369" t="s">
        <v>3547</v>
      </c>
      <c r="I369" t="s">
        <v>3548</v>
      </c>
      <c r="J369" t="s">
        <v>85</v>
      </c>
      <c r="K369" t="s">
        <v>271</v>
      </c>
      <c r="L369" s="1">
        <v>46272</v>
      </c>
      <c r="M369" t="s">
        <v>484</v>
      </c>
      <c r="N369">
        <v>451751</v>
      </c>
      <c r="O369" t="s">
        <v>35</v>
      </c>
      <c r="P369" t="s">
        <v>35</v>
      </c>
      <c r="Q369">
        <v>103</v>
      </c>
      <c r="R369" t="s">
        <v>1551</v>
      </c>
      <c r="S369" t="s">
        <v>3549</v>
      </c>
      <c r="T369">
        <v>76</v>
      </c>
      <c r="U369" t="s">
        <v>3550</v>
      </c>
      <c r="V369" t="s">
        <v>484</v>
      </c>
      <c r="W369" t="s">
        <v>75</v>
      </c>
      <c r="X369" t="s">
        <v>3551</v>
      </c>
      <c r="Y369" t="s">
        <v>3552</v>
      </c>
      <c r="Z369" t="s">
        <v>3517</v>
      </c>
    </row>
    <row r="370" spans="1:26" x14ac:dyDescent="0.2">
      <c r="A370">
        <v>366</v>
      </c>
      <c r="B370" t="s">
        <v>3553</v>
      </c>
      <c r="C370">
        <v>2010</v>
      </c>
      <c r="D370" t="s">
        <v>3554</v>
      </c>
      <c r="E370" t="s">
        <v>3555</v>
      </c>
      <c r="F370" t="s">
        <v>3556</v>
      </c>
      <c r="G370" t="s">
        <v>30</v>
      </c>
      <c r="H370" t="s">
        <v>3557</v>
      </c>
      <c r="I370" t="s">
        <v>3558</v>
      </c>
      <c r="J370" t="s">
        <v>3559</v>
      </c>
      <c r="K370" t="s">
        <v>228</v>
      </c>
      <c r="L370" s="1">
        <v>46030</v>
      </c>
      <c r="M370" t="s">
        <v>228</v>
      </c>
      <c r="N370">
        <v>837460</v>
      </c>
      <c r="O370" t="s">
        <v>1270</v>
      </c>
      <c r="P370" t="s">
        <v>757</v>
      </c>
      <c r="Q370">
        <v>123</v>
      </c>
      <c r="R370" t="s">
        <v>179</v>
      </c>
      <c r="S370" t="s">
        <v>3560</v>
      </c>
      <c r="T370">
        <v>82</v>
      </c>
      <c r="U370" t="s">
        <v>3561</v>
      </c>
      <c r="V370" t="s">
        <v>179</v>
      </c>
      <c r="W370" t="s">
        <v>75</v>
      </c>
      <c r="X370" t="s">
        <v>3562</v>
      </c>
      <c r="Y370" t="s">
        <v>3563</v>
      </c>
      <c r="Z370" t="s">
        <v>3517</v>
      </c>
    </row>
    <row r="371" spans="1:26" x14ac:dyDescent="0.2">
      <c r="A371">
        <v>367</v>
      </c>
      <c r="B371" t="s">
        <v>3564</v>
      </c>
      <c r="C371">
        <v>2009</v>
      </c>
      <c r="D371" t="s">
        <v>2241</v>
      </c>
      <c r="E371" t="s">
        <v>114</v>
      </c>
      <c r="F371" t="s">
        <v>3565</v>
      </c>
      <c r="G371" t="s">
        <v>30</v>
      </c>
      <c r="H371" t="s">
        <v>3566</v>
      </c>
      <c r="I371" t="s">
        <v>3567</v>
      </c>
      <c r="J371" t="s">
        <v>1624</v>
      </c>
      <c r="K371" t="s">
        <v>228</v>
      </c>
      <c r="L371" s="1">
        <v>46120</v>
      </c>
      <c r="M371" t="s">
        <v>271</v>
      </c>
      <c r="N371">
        <v>1668156</v>
      </c>
      <c r="O371" t="s">
        <v>3568</v>
      </c>
      <c r="P371" t="s">
        <v>1225</v>
      </c>
      <c r="Q371">
        <v>217</v>
      </c>
      <c r="R371" t="s">
        <v>54</v>
      </c>
      <c r="S371" t="s">
        <v>3569</v>
      </c>
      <c r="T371">
        <v>86</v>
      </c>
      <c r="U371" t="s">
        <v>3570</v>
      </c>
      <c r="V371" t="s">
        <v>157</v>
      </c>
      <c r="W371" t="s">
        <v>75</v>
      </c>
      <c r="X371" t="s">
        <v>3571</v>
      </c>
      <c r="Y371" t="s">
        <v>3572</v>
      </c>
      <c r="Z371" t="s">
        <v>3517</v>
      </c>
    </row>
    <row r="372" spans="1:26" x14ac:dyDescent="0.2">
      <c r="A372">
        <v>368</v>
      </c>
      <c r="B372" t="s">
        <v>3573</v>
      </c>
      <c r="C372">
        <v>1954</v>
      </c>
      <c r="D372" t="s">
        <v>3574</v>
      </c>
      <c r="E372" t="s">
        <v>3575</v>
      </c>
      <c r="F372" t="s">
        <v>3576</v>
      </c>
      <c r="G372" t="s">
        <v>50</v>
      </c>
      <c r="H372" t="s">
        <v>3577</v>
      </c>
      <c r="I372" t="s">
        <v>191</v>
      </c>
      <c r="J372" t="s">
        <v>227</v>
      </c>
      <c r="K372" t="s">
        <v>228</v>
      </c>
      <c r="L372" s="1">
        <v>46180</v>
      </c>
      <c r="M372" t="s">
        <v>1241</v>
      </c>
      <c r="N372">
        <v>42778</v>
      </c>
      <c r="O372" t="s">
        <v>484</v>
      </c>
      <c r="P372" t="s">
        <v>757</v>
      </c>
      <c r="Q372">
        <v>64</v>
      </c>
      <c r="R372" t="s">
        <v>107</v>
      </c>
      <c r="S372" t="s">
        <v>3578</v>
      </c>
      <c r="T372">
        <v>80</v>
      </c>
      <c r="U372" t="s">
        <v>3579</v>
      </c>
      <c r="V372" t="s">
        <v>35</v>
      </c>
      <c r="W372" t="s">
        <v>1148</v>
      </c>
      <c r="X372" t="s">
        <v>3580</v>
      </c>
      <c r="Y372" t="s">
        <v>3581</v>
      </c>
      <c r="Z372" t="s">
        <v>3517</v>
      </c>
    </row>
    <row r="373" spans="1:26" x14ac:dyDescent="0.2">
      <c r="A373">
        <v>369</v>
      </c>
      <c r="B373" t="s">
        <v>3582</v>
      </c>
      <c r="C373">
        <v>2007</v>
      </c>
      <c r="D373" t="s">
        <v>3583</v>
      </c>
      <c r="E373" t="s">
        <v>3308</v>
      </c>
      <c r="F373" t="s">
        <v>3584</v>
      </c>
      <c r="G373" t="s">
        <v>30</v>
      </c>
      <c r="H373" t="s">
        <v>3585</v>
      </c>
      <c r="I373" t="s">
        <v>3586</v>
      </c>
      <c r="J373" t="s">
        <v>3587</v>
      </c>
      <c r="K373" t="s">
        <v>228</v>
      </c>
      <c r="L373" s="1">
        <v>46241</v>
      </c>
      <c r="M373" t="s">
        <v>757</v>
      </c>
      <c r="N373">
        <v>549902</v>
      </c>
      <c r="O373" t="s">
        <v>228</v>
      </c>
      <c r="P373" t="s">
        <v>757</v>
      </c>
      <c r="Q373">
        <v>144</v>
      </c>
      <c r="R373" t="s">
        <v>107</v>
      </c>
      <c r="S373" t="s">
        <v>3588</v>
      </c>
      <c r="T373">
        <v>82</v>
      </c>
      <c r="U373" t="s">
        <v>3589</v>
      </c>
      <c r="V373" t="s">
        <v>54</v>
      </c>
      <c r="W373" t="s">
        <v>253</v>
      </c>
      <c r="X373" t="s">
        <v>3590</v>
      </c>
      <c r="Y373" t="s">
        <v>3591</v>
      </c>
      <c r="Z373" t="s">
        <v>3517</v>
      </c>
    </row>
    <row r="374" spans="1:26" x14ac:dyDescent="0.2">
      <c r="A374">
        <v>370</v>
      </c>
      <c r="B374" t="s">
        <v>3592</v>
      </c>
      <c r="C374">
        <v>1974</v>
      </c>
      <c r="D374" t="s">
        <v>3324</v>
      </c>
      <c r="E374" t="s">
        <v>3593</v>
      </c>
      <c r="F374" t="s">
        <v>3594</v>
      </c>
      <c r="G374" t="s">
        <v>30</v>
      </c>
      <c r="H374" t="s">
        <v>3595</v>
      </c>
      <c r="I374" t="s">
        <v>2499</v>
      </c>
      <c r="J374" t="s">
        <v>3596</v>
      </c>
      <c r="K374" t="s">
        <v>250</v>
      </c>
      <c r="L374" s="1">
        <v>46119</v>
      </c>
      <c r="M374" t="s">
        <v>1930</v>
      </c>
      <c r="N374">
        <v>196563</v>
      </c>
      <c r="O374" t="s">
        <v>74</v>
      </c>
      <c r="P374" t="s">
        <v>271</v>
      </c>
      <c r="Q374">
        <v>96</v>
      </c>
      <c r="R374" t="s">
        <v>484</v>
      </c>
      <c r="S374" t="s">
        <v>3597</v>
      </c>
      <c r="T374">
        <v>76</v>
      </c>
      <c r="U374" t="s">
        <v>3598</v>
      </c>
      <c r="V374" t="s">
        <v>54</v>
      </c>
      <c r="W374" t="s">
        <v>3599</v>
      </c>
      <c r="X374" t="s">
        <v>3600</v>
      </c>
      <c r="Y374" t="s">
        <v>3601</v>
      </c>
      <c r="Z374" t="s">
        <v>3517</v>
      </c>
    </row>
    <row r="375" spans="1:26" x14ac:dyDescent="0.2">
      <c r="A375">
        <v>371</v>
      </c>
      <c r="B375" t="s">
        <v>3602</v>
      </c>
      <c r="C375">
        <v>1978</v>
      </c>
      <c r="D375" t="s">
        <v>3324</v>
      </c>
      <c r="E375" t="s">
        <v>1732</v>
      </c>
      <c r="F375" t="s">
        <v>3603</v>
      </c>
      <c r="G375" t="s">
        <v>30</v>
      </c>
      <c r="H375" t="s">
        <v>3604</v>
      </c>
      <c r="I375" t="s">
        <v>3605</v>
      </c>
      <c r="J375" t="s">
        <v>3606</v>
      </c>
      <c r="K375" t="s">
        <v>250</v>
      </c>
      <c r="L375" s="1">
        <v>46241</v>
      </c>
      <c r="M375" t="s">
        <v>757</v>
      </c>
      <c r="N375">
        <v>132343</v>
      </c>
      <c r="O375" t="s">
        <v>2162</v>
      </c>
      <c r="P375" t="s">
        <v>204</v>
      </c>
      <c r="Q375">
        <v>60</v>
      </c>
      <c r="R375" t="s">
        <v>54</v>
      </c>
      <c r="S375" t="s">
        <v>3607</v>
      </c>
      <c r="T375">
        <v>80</v>
      </c>
      <c r="U375" t="s">
        <v>3608</v>
      </c>
      <c r="V375" t="s">
        <v>35</v>
      </c>
      <c r="X375" t="s">
        <v>3609</v>
      </c>
      <c r="Y375" t="s">
        <v>3610</v>
      </c>
      <c r="Z375" t="s">
        <v>3517</v>
      </c>
    </row>
    <row r="376" spans="1:26" x14ac:dyDescent="0.2">
      <c r="A376">
        <v>372</v>
      </c>
      <c r="B376" t="s">
        <v>3611</v>
      </c>
      <c r="C376">
        <v>2022</v>
      </c>
      <c r="D376" t="s">
        <v>3612</v>
      </c>
      <c r="E376" t="s">
        <v>3613</v>
      </c>
      <c r="F376" t="s">
        <v>3614</v>
      </c>
      <c r="G376" t="s">
        <v>30</v>
      </c>
      <c r="H376" t="s">
        <v>3615</v>
      </c>
      <c r="K376" t="s">
        <v>250</v>
      </c>
      <c r="L376" s="1">
        <v>46180</v>
      </c>
      <c r="M376" t="s">
        <v>1241</v>
      </c>
      <c r="N376">
        <v>120092</v>
      </c>
      <c r="O376" t="s">
        <v>484</v>
      </c>
      <c r="P376" t="s">
        <v>250</v>
      </c>
      <c r="Q376">
        <v>169</v>
      </c>
      <c r="S376" t="s">
        <v>3616</v>
      </c>
      <c r="T376">
        <v>80</v>
      </c>
      <c r="U376" t="s">
        <v>3617</v>
      </c>
      <c r="V376" t="s">
        <v>74</v>
      </c>
      <c r="W376" t="s">
        <v>885</v>
      </c>
      <c r="X376" t="s">
        <v>3618</v>
      </c>
      <c r="Y376" t="s">
        <v>3619</v>
      </c>
      <c r="Z376" t="s">
        <v>3620</v>
      </c>
    </row>
    <row r="377" spans="1:26" x14ac:dyDescent="0.2">
      <c r="A377">
        <v>373</v>
      </c>
      <c r="B377" t="s">
        <v>3621</v>
      </c>
      <c r="C377">
        <v>1960</v>
      </c>
      <c r="D377" t="s">
        <v>27</v>
      </c>
      <c r="E377" t="s">
        <v>3622</v>
      </c>
      <c r="F377" t="s">
        <v>3623</v>
      </c>
      <c r="G377" t="s">
        <v>321</v>
      </c>
      <c r="H377" t="s">
        <v>3624</v>
      </c>
      <c r="I377" t="s">
        <v>786</v>
      </c>
      <c r="J377" t="s">
        <v>227</v>
      </c>
      <c r="K377" t="s">
        <v>304</v>
      </c>
      <c r="L377" s="1">
        <v>46210</v>
      </c>
      <c r="M377" t="s">
        <v>1225</v>
      </c>
      <c r="N377">
        <v>90735</v>
      </c>
      <c r="P377" t="s">
        <v>179</v>
      </c>
      <c r="Q377">
        <v>65</v>
      </c>
      <c r="R377" t="s">
        <v>54</v>
      </c>
      <c r="S377" t="s">
        <v>3625</v>
      </c>
      <c r="T377">
        <v>78</v>
      </c>
      <c r="U377" t="s">
        <v>3626</v>
      </c>
      <c r="V377" t="s">
        <v>304</v>
      </c>
      <c r="W377" t="s">
        <v>135</v>
      </c>
      <c r="X377" t="s">
        <v>3627</v>
      </c>
      <c r="Y377" t="s">
        <v>3628</v>
      </c>
      <c r="Z377" t="s">
        <v>3620</v>
      </c>
    </row>
    <row r="378" spans="1:26" x14ac:dyDescent="0.2">
      <c r="A378">
        <v>374</v>
      </c>
      <c r="B378" t="s">
        <v>3629</v>
      </c>
      <c r="C378">
        <v>2024</v>
      </c>
      <c r="D378" t="s">
        <v>3630</v>
      </c>
      <c r="E378" t="s">
        <v>3631</v>
      </c>
      <c r="F378" t="s">
        <v>3632</v>
      </c>
      <c r="G378" t="s">
        <v>30</v>
      </c>
      <c r="H378" t="s">
        <v>3633</v>
      </c>
      <c r="K378" t="s">
        <v>250</v>
      </c>
      <c r="L378" s="1">
        <v>46180</v>
      </c>
      <c r="M378" t="s">
        <v>1241</v>
      </c>
      <c r="N378">
        <v>11940</v>
      </c>
      <c r="O378" t="s">
        <v>250</v>
      </c>
      <c r="P378" t="s">
        <v>204</v>
      </c>
      <c r="Q378">
        <v>73</v>
      </c>
      <c r="S378" t="s">
        <v>3634</v>
      </c>
      <c r="T378">
        <v>82</v>
      </c>
      <c r="U378" t="s">
        <v>3635</v>
      </c>
      <c r="V378" t="s">
        <v>107</v>
      </c>
      <c r="W378" t="s">
        <v>3636</v>
      </c>
      <c r="X378" t="s">
        <v>3637</v>
      </c>
      <c r="Y378" t="s">
        <v>3638</v>
      </c>
      <c r="Z378" t="s">
        <v>3620</v>
      </c>
    </row>
    <row r="379" spans="1:26" x14ac:dyDescent="0.2">
      <c r="A379">
        <v>375</v>
      </c>
      <c r="B379" t="s">
        <v>3639</v>
      </c>
      <c r="C379">
        <v>1980</v>
      </c>
      <c r="D379" t="s">
        <v>65</v>
      </c>
      <c r="E379" t="s">
        <v>3154</v>
      </c>
      <c r="F379" t="s">
        <v>3640</v>
      </c>
      <c r="G379" t="s">
        <v>30</v>
      </c>
      <c r="H379" t="s">
        <v>3641</v>
      </c>
      <c r="I379" t="s">
        <v>3642</v>
      </c>
      <c r="J379" t="s">
        <v>33</v>
      </c>
      <c r="K379" t="s">
        <v>228</v>
      </c>
      <c r="L379" s="1">
        <v>46210</v>
      </c>
      <c r="M379" t="s">
        <v>1225</v>
      </c>
      <c r="N379">
        <v>58996</v>
      </c>
      <c r="O379" t="s">
        <v>54</v>
      </c>
      <c r="P379" t="s">
        <v>107</v>
      </c>
      <c r="Q379">
        <v>58</v>
      </c>
      <c r="R379" t="s">
        <v>271</v>
      </c>
      <c r="S379" t="s">
        <v>3643</v>
      </c>
      <c r="T379">
        <v>80</v>
      </c>
      <c r="U379" t="s">
        <v>3644</v>
      </c>
      <c r="V379" t="s">
        <v>1225</v>
      </c>
      <c r="W379" t="s">
        <v>75</v>
      </c>
      <c r="X379" t="s">
        <v>3645</v>
      </c>
      <c r="Y379" t="s">
        <v>3646</v>
      </c>
      <c r="Z379" t="s">
        <v>3647</v>
      </c>
    </row>
    <row r="380" spans="1:26" x14ac:dyDescent="0.2">
      <c r="A380">
        <v>376</v>
      </c>
      <c r="B380" t="s">
        <v>3648</v>
      </c>
      <c r="C380">
        <v>2011</v>
      </c>
      <c r="D380" t="s">
        <v>65</v>
      </c>
      <c r="E380" t="s">
        <v>2984</v>
      </c>
      <c r="F380" t="s">
        <v>3649</v>
      </c>
      <c r="G380" t="s">
        <v>2986</v>
      </c>
      <c r="H380" t="s">
        <v>3650</v>
      </c>
      <c r="I380" t="s">
        <v>3147</v>
      </c>
      <c r="J380" t="s">
        <v>3651</v>
      </c>
      <c r="K380" t="s">
        <v>250</v>
      </c>
      <c r="L380" s="1">
        <v>46180</v>
      </c>
      <c r="M380" t="s">
        <v>1241</v>
      </c>
      <c r="N380">
        <v>30999</v>
      </c>
      <c r="O380" t="s">
        <v>271</v>
      </c>
      <c r="P380" t="s">
        <v>204</v>
      </c>
      <c r="Q380">
        <v>61</v>
      </c>
      <c r="R380" t="s">
        <v>304</v>
      </c>
      <c r="S380" t="s">
        <v>3652</v>
      </c>
      <c r="T380">
        <v>82</v>
      </c>
      <c r="U380" t="s">
        <v>3653</v>
      </c>
      <c r="V380" t="s">
        <v>271</v>
      </c>
      <c r="W380" t="s">
        <v>1819</v>
      </c>
      <c r="X380" t="s">
        <v>3654</v>
      </c>
      <c r="Y380" t="s">
        <v>3655</v>
      </c>
      <c r="Z380" t="s">
        <v>3647</v>
      </c>
    </row>
    <row r="381" spans="1:26" x14ac:dyDescent="0.2">
      <c r="A381">
        <v>377</v>
      </c>
      <c r="B381" t="s">
        <v>3656</v>
      </c>
      <c r="C381">
        <v>2014</v>
      </c>
      <c r="D381" t="s">
        <v>3117</v>
      </c>
      <c r="E381" t="s">
        <v>3657</v>
      </c>
      <c r="F381" t="s">
        <v>3658</v>
      </c>
      <c r="G381" t="s">
        <v>30</v>
      </c>
      <c r="H381" t="s">
        <v>3659</v>
      </c>
      <c r="I381" t="s">
        <v>3660</v>
      </c>
      <c r="J381" t="s">
        <v>3462</v>
      </c>
      <c r="K381" t="s">
        <v>304</v>
      </c>
      <c r="L381" s="1">
        <v>46241</v>
      </c>
      <c r="M381" t="s">
        <v>757</v>
      </c>
      <c r="N381">
        <v>63396</v>
      </c>
      <c r="O381" t="s">
        <v>484</v>
      </c>
      <c r="P381" t="s">
        <v>1225</v>
      </c>
      <c r="Q381">
        <v>99</v>
      </c>
      <c r="R381" t="s">
        <v>54</v>
      </c>
      <c r="S381" t="s">
        <v>3661</v>
      </c>
      <c r="T381">
        <v>82</v>
      </c>
      <c r="U381" t="s">
        <v>3662</v>
      </c>
      <c r="V381" t="s">
        <v>179</v>
      </c>
      <c r="W381" t="s">
        <v>1186</v>
      </c>
      <c r="X381" t="s">
        <v>3663</v>
      </c>
      <c r="Y381" t="s">
        <v>3664</v>
      </c>
      <c r="Z381" t="s">
        <v>3647</v>
      </c>
    </row>
    <row r="382" spans="1:26" x14ac:dyDescent="0.2">
      <c r="A382">
        <v>378</v>
      </c>
      <c r="B382" t="s">
        <v>3665</v>
      </c>
      <c r="C382">
        <v>1979</v>
      </c>
      <c r="D382" t="s">
        <v>65</v>
      </c>
      <c r="E382" t="s">
        <v>3666</v>
      </c>
      <c r="F382" t="s">
        <v>3667</v>
      </c>
      <c r="G382" t="s">
        <v>30</v>
      </c>
      <c r="H382" t="s">
        <v>3668</v>
      </c>
      <c r="I382" t="s">
        <v>3669</v>
      </c>
      <c r="J382" t="s">
        <v>893</v>
      </c>
      <c r="K382" t="s">
        <v>228</v>
      </c>
      <c r="L382" s="1">
        <v>46241</v>
      </c>
      <c r="M382" t="s">
        <v>757</v>
      </c>
      <c r="N382">
        <v>160104</v>
      </c>
      <c r="O382" t="s">
        <v>1225</v>
      </c>
      <c r="P382" t="s">
        <v>228</v>
      </c>
      <c r="Q382">
        <v>60</v>
      </c>
      <c r="R382" t="s">
        <v>107</v>
      </c>
      <c r="S382" t="s">
        <v>3670</v>
      </c>
      <c r="T382">
        <v>82</v>
      </c>
      <c r="U382" t="s">
        <v>3671</v>
      </c>
      <c r="V382" t="s">
        <v>54</v>
      </c>
      <c r="W382" t="s">
        <v>75</v>
      </c>
      <c r="X382" t="s">
        <v>3672</v>
      </c>
      <c r="Y382" t="s">
        <v>3673</v>
      </c>
      <c r="Z382" t="s">
        <v>3647</v>
      </c>
    </row>
    <row r="383" spans="1:26" x14ac:dyDescent="0.2">
      <c r="A383">
        <v>379</v>
      </c>
      <c r="B383" t="s">
        <v>3674</v>
      </c>
      <c r="C383">
        <v>2016</v>
      </c>
      <c r="D383" t="s">
        <v>1072</v>
      </c>
      <c r="E383" t="s">
        <v>1345</v>
      </c>
      <c r="F383" t="s">
        <v>3675</v>
      </c>
      <c r="G383" t="s">
        <v>30</v>
      </c>
      <c r="H383" t="s">
        <v>3676</v>
      </c>
      <c r="K383" t="s">
        <v>250</v>
      </c>
      <c r="L383" s="1">
        <v>46272</v>
      </c>
      <c r="M383" t="s">
        <v>484</v>
      </c>
      <c r="N383">
        <v>811528</v>
      </c>
      <c r="O383" t="s">
        <v>228</v>
      </c>
      <c r="P383" t="s">
        <v>204</v>
      </c>
      <c r="Q383">
        <v>329</v>
      </c>
      <c r="R383" t="s">
        <v>304</v>
      </c>
      <c r="S383" t="s">
        <v>3677</v>
      </c>
      <c r="T383">
        <v>82</v>
      </c>
      <c r="U383" t="s">
        <v>3678</v>
      </c>
      <c r="V383" t="s">
        <v>271</v>
      </c>
      <c r="W383" t="s">
        <v>3679</v>
      </c>
      <c r="X383" t="s">
        <v>3680</v>
      </c>
      <c r="Y383" t="s">
        <v>3681</v>
      </c>
      <c r="Z383" t="s">
        <v>3647</v>
      </c>
    </row>
    <row r="384" spans="1:26" x14ac:dyDescent="0.2">
      <c r="A384">
        <v>380</v>
      </c>
      <c r="B384" t="s">
        <v>3682</v>
      </c>
      <c r="C384">
        <v>2013</v>
      </c>
      <c r="D384" t="s">
        <v>1161</v>
      </c>
      <c r="E384" t="s">
        <v>3683</v>
      </c>
      <c r="F384" t="s">
        <v>3684</v>
      </c>
      <c r="G384" t="s">
        <v>30</v>
      </c>
      <c r="H384" t="s">
        <v>3685</v>
      </c>
      <c r="I384" t="s">
        <v>3686</v>
      </c>
      <c r="J384" t="s">
        <v>2341</v>
      </c>
      <c r="K384" t="s">
        <v>304</v>
      </c>
      <c r="L384" s="1">
        <v>46030</v>
      </c>
      <c r="M384" t="s">
        <v>228</v>
      </c>
      <c r="N384">
        <v>74576</v>
      </c>
      <c r="O384" t="s">
        <v>204</v>
      </c>
      <c r="P384" t="s">
        <v>228</v>
      </c>
      <c r="Q384">
        <v>87</v>
      </c>
      <c r="R384" t="s">
        <v>179</v>
      </c>
      <c r="S384" t="s">
        <v>3687</v>
      </c>
      <c r="T384">
        <v>80</v>
      </c>
      <c r="U384" t="s">
        <v>3688</v>
      </c>
      <c r="V384" t="s">
        <v>1225</v>
      </c>
      <c r="W384" t="s">
        <v>253</v>
      </c>
      <c r="X384" t="s">
        <v>3689</v>
      </c>
      <c r="Y384" t="s">
        <v>3690</v>
      </c>
      <c r="Z384" t="s">
        <v>3647</v>
      </c>
    </row>
    <row r="385" spans="1:26" x14ac:dyDescent="0.2">
      <c r="A385">
        <v>381</v>
      </c>
      <c r="B385" t="s">
        <v>3691</v>
      </c>
      <c r="C385">
        <v>2015</v>
      </c>
      <c r="D385" t="s">
        <v>3692</v>
      </c>
      <c r="E385" t="s">
        <v>3693</v>
      </c>
      <c r="F385" t="s">
        <v>3694</v>
      </c>
      <c r="G385" t="s">
        <v>30</v>
      </c>
      <c r="H385" t="s">
        <v>3695</v>
      </c>
      <c r="I385" t="s">
        <v>3696</v>
      </c>
      <c r="J385" t="s">
        <v>3697</v>
      </c>
      <c r="K385" t="s">
        <v>228</v>
      </c>
      <c r="L385" s="1">
        <v>46241</v>
      </c>
      <c r="M385" t="s">
        <v>757</v>
      </c>
      <c r="N385">
        <v>56837</v>
      </c>
      <c r="O385" t="s">
        <v>107</v>
      </c>
      <c r="P385" t="s">
        <v>271</v>
      </c>
      <c r="Q385">
        <v>139</v>
      </c>
      <c r="R385" t="s">
        <v>271</v>
      </c>
      <c r="S385" t="s">
        <v>3698</v>
      </c>
      <c r="T385">
        <v>80</v>
      </c>
      <c r="U385" t="s">
        <v>3699</v>
      </c>
      <c r="V385" t="s">
        <v>757</v>
      </c>
      <c r="W385" t="s">
        <v>3700</v>
      </c>
      <c r="X385" t="s">
        <v>3701</v>
      </c>
      <c r="Y385" t="s">
        <v>3702</v>
      </c>
      <c r="Z385" t="s">
        <v>3647</v>
      </c>
    </row>
    <row r="386" spans="1:26" x14ac:dyDescent="0.2">
      <c r="A386">
        <v>382</v>
      </c>
      <c r="B386" t="s">
        <v>3703</v>
      </c>
      <c r="C386">
        <v>1967</v>
      </c>
      <c r="D386" t="s">
        <v>211</v>
      </c>
      <c r="E386" t="s">
        <v>3704</v>
      </c>
      <c r="F386" t="s">
        <v>3705</v>
      </c>
      <c r="G386" t="s">
        <v>321</v>
      </c>
      <c r="H386" t="s">
        <v>3706</v>
      </c>
      <c r="I386" t="s">
        <v>3707</v>
      </c>
      <c r="J386" t="s">
        <v>3708</v>
      </c>
      <c r="K386" t="s">
        <v>228</v>
      </c>
      <c r="L386" s="1">
        <v>46180</v>
      </c>
      <c r="M386" t="s">
        <v>1241</v>
      </c>
      <c r="N386">
        <v>51150</v>
      </c>
      <c r="P386" t="s">
        <v>179</v>
      </c>
      <c r="Q386">
        <v>57</v>
      </c>
      <c r="R386" t="s">
        <v>204</v>
      </c>
      <c r="S386" t="s">
        <v>3709</v>
      </c>
      <c r="T386">
        <v>80</v>
      </c>
      <c r="U386" t="s">
        <v>3710</v>
      </c>
      <c r="W386" t="s">
        <v>135</v>
      </c>
      <c r="X386" t="s">
        <v>3711</v>
      </c>
      <c r="Y386" t="s">
        <v>3712</v>
      </c>
      <c r="Z386" t="s">
        <v>3647</v>
      </c>
    </row>
    <row r="387" spans="1:26" x14ac:dyDescent="0.2">
      <c r="A387">
        <v>383</v>
      </c>
      <c r="B387" t="s">
        <v>2044</v>
      </c>
      <c r="C387">
        <v>2022</v>
      </c>
      <c r="D387" t="s">
        <v>3713</v>
      </c>
      <c r="E387" t="s">
        <v>3714</v>
      </c>
      <c r="F387" t="s">
        <v>3715</v>
      </c>
      <c r="G387" t="s">
        <v>374</v>
      </c>
      <c r="H387" t="s">
        <v>3716</v>
      </c>
      <c r="K387" t="s">
        <v>250</v>
      </c>
      <c r="L387" s="1">
        <v>46241</v>
      </c>
      <c r="M387" t="s">
        <v>757</v>
      </c>
      <c r="N387">
        <v>272269</v>
      </c>
      <c r="O387" t="s">
        <v>1241</v>
      </c>
      <c r="P387" t="s">
        <v>228</v>
      </c>
      <c r="Q387">
        <v>114</v>
      </c>
      <c r="S387" t="s">
        <v>3717</v>
      </c>
      <c r="T387">
        <v>80</v>
      </c>
      <c r="U387" t="s">
        <v>3718</v>
      </c>
      <c r="V387" t="s">
        <v>35</v>
      </c>
      <c r="W387" t="s">
        <v>885</v>
      </c>
      <c r="X387" t="s">
        <v>3719</v>
      </c>
      <c r="Y387" t="s">
        <v>3720</v>
      </c>
      <c r="Z387" t="s">
        <v>3721</v>
      </c>
    </row>
    <row r="388" spans="1:26" x14ac:dyDescent="0.2">
      <c r="A388">
        <v>384</v>
      </c>
      <c r="B388" t="s">
        <v>3722</v>
      </c>
      <c r="C388">
        <v>1963</v>
      </c>
      <c r="D388" t="s">
        <v>1731</v>
      </c>
      <c r="E388" t="s">
        <v>103</v>
      </c>
      <c r="F388" t="s">
        <v>3723</v>
      </c>
      <c r="G388" t="s">
        <v>30</v>
      </c>
      <c r="H388" t="s">
        <v>3724</v>
      </c>
      <c r="I388" t="s">
        <v>3725</v>
      </c>
      <c r="J388" t="s">
        <v>85</v>
      </c>
      <c r="K388" t="s">
        <v>228</v>
      </c>
      <c r="L388" s="1">
        <v>46180</v>
      </c>
      <c r="M388" t="s">
        <v>1241</v>
      </c>
      <c r="N388">
        <v>212072</v>
      </c>
      <c r="O388" t="s">
        <v>41</v>
      </c>
      <c r="P388" t="s">
        <v>107</v>
      </c>
      <c r="Q388">
        <v>67</v>
      </c>
      <c r="R388" t="s">
        <v>228</v>
      </c>
      <c r="S388" t="s">
        <v>3726</v>
      </c>
      <c r="T388">
        <v>76</v>
      </c>
      <c r="U388" t="s">
        <v>3727</v>
      </c>
      <c r="V388" t="s">
        <v>304</v>
      </c>
      <c r="W388" t="s">
        <v>75</v>
      </c>
      <c r="X388" t="s">
        <v>3728</v>
      </c>
      <c r="Y388" t="s">
        <v>3729</v>
      </c>
      <c r="Z388" t="s">
        <v>3730</v>
      </c>
    </row>
    <row r="389" spans="1:26" x14ac:dyDescent="0.2">
      <c r="A389">
        <v>385</v>
      </c>
      <c r="B389" t="s">
        <v>3731</v>
      </c>
      <c r="C389">
        <v>2013</v>
      </c>
      <c r="D389" t="s">
        <v>211</v>
      </c>
      <c r="E389" t="s">
        <v>3732</v>
      </c>
      <c r="F389" t="s">
        <v>3733</v>
      </c>
      <c r="G389" t="s">
        <v>3734</v>
      </c>
      <c r="H389" t="s">
        <v>3735</v>
      </c>
      <c r="I389" t="s">
        <v>3736</v>
      </c>
      <c r="J389" t="s">
        <v>335</v>
      </c>
      <c r="K389" t="s">
        <v>228</v>
      </c>
      <c r="L389" s="1">
        <v>46241</v>
      </c>
      <c r="M389" t="s">
        <v>757</v>
      </c>
      <c r="N389">
        <v>63364</v>
      </c>
      <c r="O389" t="s">
        <v>1241</v>
      </c>
      <c r="P389" t="s">
        <v>1225</v>
      </c>
      <c r="Q389">
        <v>85</v>
      </c>
      <c r="R389" t="s">
        <v>204</v>
      </c>
      <c r="S389" t="s">
        <v>3737</v>
      </c>
      <c r="T389">
        <v>80</v>
      </c>
      <c r="U389" t="s">
        <v>3738</v>
      </c>
      <c r="V389" t="s">
        <v>57</v>
      </c>
      <c r="W389" t="s">
        <v>75</v>
      </c>
      <c r="X389" t="s">
        <v>3739</v>
      </c>
      <c r="Y389" t="s">
        <v>3740</v>
      </c>
      <c r="Z389" t="s">
        <v>3730</v>
      </c>
    </row>
    <row r="390" spans="1:26" x14ac:dyDescent="0.2">
      <c r="A390">
        <v>386</v>
      </c>
      <c r="B390" t="s">
        <v>3741</v>
      </c>
      <c r="C390">
        <v>1944</v>
      </c>
      <c r="D390" t="s">
        <v>3742</v>
      </c>
      <c r="E390" t="s">
        <v>3743</v>
      </c>
      <c r="F390" t="s">
        <v>3744</v>
      </c>
      <c r="G390" t="s">
        <v>30</v>
      </c>
      <c r="H390" t="s">
        <v>3745</v>
      </c>
      <c r="I390" t="s">
        <v>3746</v>
      </c>
      <c r="J390" t="s">
        <v>239</v>
      </c>
      <c r="K390" t="s">
        <v>228</v>
      </c>
      <c r="L390" s="1">
        <v>46149</v>
      </c>
      <c r="M390" t="s">
        <v>1270</v>
      </c>
      <c r="N390">
        <v>29429</v>
      </c>
      <c r="O390" t="s">
        <v>57</v>
      </c>
      <c r="P390" t="s">
        <v>97</v>
      </c>
      <c r="Q390">
        <v>54</v>
      </c>
      <c r="R390" t="s">
        <v>250</v>
      </c>
      <c r="S390" t="s">
        <v>3747</v>
      </c>
      <c r="T390">
        <v>76</v>
      </c>
      <c r="U390" t="s">
        <v>3748</v>
      </c>
      <c r="V390" t="s">
        <v>1551</v>
      </c>
      <c r="W390" t="s">
        <v>75</v>
      </c>
      <c r="X390" t="s">
        <v>3749</v>
      </c>
      <c r="Y390" t="s">
        <v>3750</v>
      </c>
      <c r="Z390" t="s">
        <v>3730</v>
      </c>
    </row>
    <row r="391" spans="1:26" x14ac:dyDescent="0.2">
      <c r="A391">
        <v>387</v>
      </c>
      <c r="B391" t="s">
        <v>3751</v>
      </c>
      <c r="C391">
        <v>1992</v>
      </c>
      <c r="D391" t="s">
        <v>519</v>
      </c>
      <c r="E391" t="s">
        <v>701</v>
      </c>
      <c r="F391" t="s">
        <v>3752</v>
      </c>
      <c r="G391" t="s">
        <v>30</v>
      </c>
      <c r="H391" t="s">
        <v>3753</v>
      </c>
      <c r="I391" t="s">
        <v>3754</v>
      </c>
      <c r="J391" t="s">
        <v>178</v>
      </c>
      <c r="K391" t="s">
        <v>304</v>
      </c>
      <c r="L391" s="1">
        <v>46210</v>
      </c>
      <c r="M391" t="s">
        <v>1225</v>
      </c>
      <c r="N391">
        <v>105909</v>
      </c>
      <c r="O391" t="s">
        <v>2978</v>
      </c>
      <c r="P391" t="s">
        <v>1225</v>
      </c>
      <c r="Q391">
        <v>50</v>
      </c>
      <c r="R391" t="s">
        <v>179</v>
      </c>
      <c r="S391" t="s">
        <v>3755</v>
      </c>
      <c r="T391">
        <v>84</v>
      </c>
      <c r="U391" t="s">
        <v>3756</v>
      </c>
      <c r="V391" t="s">
        <v>41</v>
      </c>
      <c r="W391" t="s">
        <v>135</v>
      </c>
      <c r="X391" t="s">
        <v>3757</v>
      </c>
      <c r="Y391" t="s">
        <v>3758</v>
      </c>
      <c r="Z391" t="s">
        <v>3730</v>
      </c>
    </row>
    <row r="392" spans="1:26" x14ac:dyDescent="0.2">
      <c r="A392">
        <v>388</v>
      </c>
      <c r="B392" t="s">
        <v>3759</v>
      </c>
      <c r="C392">
        <v>1944</v>
      </c>
      <c r="D392" t="s">
        <v>3760</v>
      </c>
      <c r="E392" t="s">
        <v>3761</v>
      </c>
      <c r="F392" t="s">
        <v>3762</v>
      </c>
      <c r="G392" t="s">
        <v>30</v>
      </c>
      <c r="H392" t="s">
        <v>3763</v>
      </c>
      <c r="I392" t="s">
        <v>3764</v>
      </c>
      <c r="J392" t="s">
        <v>312</v>
      </c>
      <c r="K392" t="s">
        <v>250</v>
      </c>
      <c r="L392" s="1">
        <v>46272</v>
      </c>
      <c r="M392" t="s">
        <v>484</v>
      </c>
      <c r="N392">
        <v>53523</v>
      </c>
      <c r="P392" t="s">
        <v>97</v>
      </c>
      <c r="Q392">
        <v>51</v>
      </c>
      <c r="R392" t="s">
        <v>54</v>
      </c>
      <c r="S392" t="s">
        <v>3765</v>
      </c>
      <c r="T392">
        <v>80</v>
      </c>
      <c r="U392" t="s">
        <v>3766</v>
      </c>
      <c r="V392" t="s">
        <v>1551</v>
      </c>
      <c r="W392" t="s">
        <v>1186</v>
      </c>
      <c r="X392" t="s">
        <v>3767</v>
      </c>
      <c r="Y392" t="s">
        <v>3768</v>
      </c>
      <c r="Z392" t="s">
        <v>3769</v>
      </c>
    </row>
    <row r="393" spans="1:26" x14ac:dyDescent="0.2">
      <c r="A393">
        <v>389</v>
      </c>
      <c r="B393" t="s">
        <v>3770</v>
      </c>
      <c r="C393">
        <v>2023</v>
      </c>
      <c r="D393" t="s">
        <v>3771</v>
      </c>
      <c r="E393" t="s">
        <v>1458</v>
      </c>
      <c r="F393" t="s">
        <v>3772</v>
      </c>
      <c r="G393" t="s">
        <v>30</v>
      </c>
      <c r="H393" t="s">
        <v>3773</v>
      </c>
      <c r="K393" t="s">
        <v>228</v>
      </c>
      <c r="L393" s="1">
        <v>46119</v>
      </c>
      <c r="M393" t="s">
        <v>1930</v>
      </c>
      <c r="N393">
        <v>79116</v>
      </c>
      <c r="O393" t="s">
        <v>107</v>
      </c>
      <c r="P393" t="s">
        <v>271</v>
      </c>
      <c r="Q393">
        <v>55</v>
      </c>
      <c r="S393" t="s">
        <v>3774</v>
      </c>
      <c r="T393">
        <v>76</v>
      </c>
      <c r="U393" t="s">
        <v>3775</v>
      </c>
      <c r="V393" t="s">
        <v>179</v>
      </c>
      <c r="W393" t="s">
        <v>885</v>
      </c>
      <c r="X393" t="s">
        <v>3776</v>
      </c>
      <c r="Y393" t="s">
        <v>3777</v>
      </c>
      <c r="Z393" t="s">
        <v>3769</v>
      </c>
    </row>
    <row r="394" spans="1:26" x14ac:dyDescent="0.2">
      <c r="A394">
        <v>390</v>
      </c>
      <c r="B394" t="s">
        <v>3778</v>
      </c>
      <c r="C394">
        <v>2011</v>
      </c>
      <c r="D394" t="s">
        <v>65</v>
      </c>
      <c r="E394" t="s">
        <v>3779</v>
      </c>
      <c r="F394" t="s">
        <v>3780</v>
      </c>
      <c r="G394" t="s">
        <v>30</v>
      </c>
      <c r="H394" t="s">
        <v>3781</v>
      </c>
      <c r="I394" t="s">
        <v>3782</v>
      </c>
      <c r="J394" t="s">
        <v>203</v>
      </c>
      <c r="K394" t="s">
        <v>228</v>
      </c>
      <c r="L394" s="1">
        <v>46180</v>
      </c>
      <c r="M394" t="s">
        <v>1241</v>
      </c>
      <c r="N394">
        <v>483651</v>
      </c>
      <c r="O394" t="s">
        <v>179</v>
      </c>
      <c r="P394" t="s">
        <v>250</v>
      </c>
      <c r="Q394">
        <v>197</v>
      </c>
      <c r="R394" t="s">
        <v>250</v>
      </c>
      <c r="S394" t="s">
        <v>3783</v>
      </c>
      <c r="T394">
        <v>78</v>
      </c>
      <c r="U394" t="s">
        <v>3784</v>
      </c>
      <c r="V394" t="s">
        <v>250</v>
      </c>
      <c r="W394" t="s">
        <v>253</v>
      </c>
      <c r="X394" t="s">
        <v>3785</v>
      </c>
      <c r="Y394" t="s">
        <v>3786</v>
      </c>
      <c r="Z394" t="s">
        <v>3787</v>
      </c>
    </row>
    <row r="395" spans="1:26" x14ac:dyDescent="0.2">
      <c r="A395">
        <v>391</v>
      </c>
      <c r="B395" t="s">
        <v>3788</v>
      </c>
      <c r="C395">
        <v>1969</v>
      </c>
      <c r="D395" t="s">
        <v>65</v>
      </c>
      <c r="E395" t="s">
        <v>3789</v>
      </c>
      <c r="F395" t="s">
        <v>3790</v>
      </c>
      <c r="G395" t="s">
        <v>30</v>
      </c>
      <c r="H395" t="s">
        <v>3791</v>
      </c>
      <c r="I395" t="s">
        <v>3792</v>
      </c>
      <c r="J395" t="s">
        <v>167</v>
      </c>
      <c r="K395" t="s">
        <v>228</v>
      </c>
      <c r="L395" s="1">
        <v>46241</v>
      </c>
      <c r="M395" t="s">
        <v>757</v>
      </c>
      <c r="N395">
        <v>125825</v>
      </c>
      <c r="O395" t="s">
        <v>484</v>
      </c>
      <c r="P395" t="s">
        <v>271</v>
      </c>
      <c r="Q395">
        <v>73</v>
      </c>
      <c r="R395" t="s">
        <v>271</v>
      </c>
      <c r="S395" t="s">
        <v>3793</v>
      </c>
      <c r="T395">
        <v>82</v>
      </c>
      <c r="U395" t="s">
        <v>3794</v>
      </c>
      <c r="V395" t="s">
        <v>304</v>
      </c>
      <c r="W395" t="s">
        <v>253</v>
      </c>
      <c r="X395" t="s">
        <v>3795</v>
      </c>
      <c r="Y395" t="s">
        <v>3796</v>
      </c>
      <c r="Z395" t="s">
        <v>3787</v>
      </c>
    </row>
    <row r="396" spans="1:26" x14ac:dyDescent="0.2">
      <c r="A396">
        <v>392</v>
      </c>
      <c r="B396" t="s">
        <v>3797</v>
      </c>
      <c r="C396">
        <v>2014</v>
      </c>
      <c r="D396" t="s">
        <v>2072</v>
      </c>
      <c r="E396" t="s">
        <v>1768</v>
      </c>
      <c r="F396" t="s">
        <v>3798</v>
      </c>
      <c r="G396" t="s">
        <v>30</v>
      </c>
      <c r="H396" t="s">
        <v>3799</v>
      </c>
      <c r="I396" t="s">
        <v>3800</v>
      </c>
      <c r="J396" t="s">
        <v>312</v>
      </c>
      <c r="K396" t="s">
        <v>304</v>
      </c>
      <c r="L396" s="1">
        <v>46030</v>
      </c>
      <c r="M396" t="s">
        <v>228</v>
      </c>
      <c r="N396">
        <v>1114383</v>
      </c>
      <c r="O396" t="s">
        <v>484</v>
      </c>
      <c r="P396" t="s">
        <v>228</v>
      </c>
      <c r="Q396">
        <v>279</v>
      </c>
      <c r="R396" t="s">
        <v>107</v>
      </c>
      <c r="S396" t="s">
        <v>3801</v>
      </c>
      <c r="T396">
        <v>82</v>
      </c>
      <c r="U396" t="s">
        <v>3802</v>
      </c>
      <c r="V396" t="s">
        <v>484</v>
      </c>
      <c r="W396" t="s">
        <v>75</v>
      </c>
      <c r="X396" t="s">
        <v>3803</v>
      </c>
      <c r="Y396" t="s">
        <v>3804</v>
      </c>
      <c r="Z396" t="s">
        <v>3787</v>
      </c>
    </row>
    <row r="397" spans="1:26" x14ac:dyDescent="0.2">
      <c r="A397">
        <v>393</v>
      </c>
      <c r="B397" t="s">
        <v>3805</v>
      </c>
      <c r="C397">
        <v>2013</v>
      </c>
      <c r="D397" t="s">
        <v>3806</v>
      </c>
      <c r="E397" t="s">
        <v>3185</v>
      </c>
      <c r="F397" t="s">
        <v>3807</v>
      </c>
      <c r="G397" t="s">
        <v>30</v>
      </c>
      <c r="H397" t="s">
        <v>3808</v>
      </c>
      <c r="I397" t="s">
        <v>3809</v>
      </c>
      <c r="J397" t="s">
        <v>203</v>
      </c>
      <c r="K397" t="s">
        <v>304</v>
      </c>
      <c r="L397" s="1">
        <v>46241</v>
      </c>
      <c r="M397" t="s">
        <v>757</v>
      </c>
      <c r="N397">
        <v>506195</v>
      </c>
      <c r="O397" t="s">
        <v>250</v>
      </c>
      <c r="P397" t="s">
        <v>204</v>
      </c>
      <c r="Q397">
        <v>211</v>
      </c>
      <c r="R397" t="s">
        <v>107</v>
      </c>
      <c r="S397" t="s">
        <v>3810</v>
      </c>
      <c r="T397">
        <v>76</v>
      </c>
      <c r="U397" t="s">
        <v>3811</v>
      </c>
      <c r="V397" t="s">
        <v>204</v>
      </c>
      <c r="W397" t="s">
        <v>75</v>
      </c>
      <c r="X397" t="s">
        <v>3812</v>
      </c>
      <c r="Y397" t="s">
        <v>3813</v>
      </c>
      <c r="Z397" t="s">
        <v>3787</v>
      </c>
    </row>
    <row r="398" spans="1:26" x14ac:dyDescent="0.2">
      <c r="A398">
        <v>394</v>
      </c>
      <c r="B398" t="s">
        <v>3814</v>
      </c>
      <c r="C398">
        <v>2015</v>
      </c>
      <c r="D398" t="s">
        <v>1674</v>
      </c>
      <c r="E398" t="s">
        <v>1345</v>
      </c>
      <c r="F398" t="s">
        <v>3815</v>
      </c>
      <c r="G398" t="s">
        <v>30</v>
      </c>
      <c r="H398" t="s">
        <v>3816</v>
      </c>
      <c r="I398" t="s">
        <v>2499</v>
      </c>
      <c r="J398" t="s">
        <v>3817</v>
      </c>
      <c r="K398" t="s">
        <v>228</v>
      </c>
      <c r="L398" s="1">
        <v>46210</v>
      </c>
      <c r="M398" t="s">
        <v>1225</v>
      </c>
      <c r="N398">
        <v>504995</v>
      </c>
      <c r="O398" t="s">
        <v>250</v>
      </c>
      <c r="P398" t="s">
        <v>228</v>
      </c>
      <c r="Q398">
        <v>224</v>
      </c>
      <c r="R398" t="s">
        <v>250</v>
      </c>
      <c r="S398" t="s">
        <v>3818</v>
      </c>
      <c r="T398">
        <v>80</v>
      </c>
      <c r="U398" t="s">
        <v>3819</v>
      </c>
      <c r="V398" t="s">
        <v>107</v>
      </c>
      <c r="W398" t="s">
        <v>253</v>
      </c>
      <c r="X398" t="s">
        <v>3820</v>
      </c>
      <c r="Y398" t="s">
        <v>3821</v>
      </c>
      <c r="Z398" t="s">
        <v>3787</v>
      </c>
    </row>
    <row r="399" spans="1:26" x14ac:dyDescent="0.2">
      <c r="A399">
        <v>395</v>
      </c>
      <c r="B399" t="s">
        <v>3822</v>
      </c>
      <c r="C399">
        <v>1989</v>
      </c>
      <c r="D399" t="s">
        <v>140</v>
      </c>
      <c r="E399" t="s">
        <v>2092</v>
      </c>
      <c r="F399" t="s">
        <v>3823</v>
      </c>
      <c r="G399" t="s">
        <v>30</v>
      </c>
      <c r="H399" t="s">
        <v>3824</v>
      </c>
      <c r="I399" t="s">
        <v>3825</v>
      </c>
      <c r="J399" t="s">
        <v>145</v>
      </c>
      <c r="K399" t="s">
        <v>304</v>
      </c>
      <c r="L399" s="1">
        <v>46180</v>
      </c>
      <c r="M399" t="s">
        <v>1241</v>
      </c>
      <c r="N399">
        <v>300298</v>
      </c>
      <c r="O399" t="s">
        <v>157</v>
      </c>
      <c r="P399" t="s">
        <v>271</v>
      </c>
      <c r="Q399">
        <v>75</v>
      </c>
      <c r="R399" t="s">
        <v>271</v>
      </c>
      <c r="S399" t="s">
        <v>3826</v>
      </c>
      <c r="T399">
        <v>74</v>
      </c>
      <c r="U399" t="s">
        <v>3827</v>
      </c>
      <c r="V399" t="s">
        <v>228</v>
      </c>
      <c r="W399" t="s">
        <v>2099</v>
      </c>
      <c r="X399" t="s">
        <v>3828</v>
      </c>
      <c r="Y399" t="s">
        <v>3829</v>
      </c>
      <c r="Z399" t="s">
        <v>3787</v>
      </c>
    </row>
    <row r="400" spans="1:26" x14ac:dyDescent="0.2">
      <c r="A400">
        <v>396</v>
      </c>
      <c r="B400" t="s">
        <v>3830</v>
      </c>
      <c r="C400">
        <v>2012</v>
      </c>
      <c r="D400" t="s">
        <v>3831</v>
      </c>
      <c r="E400" t="s">
        <v>2475</v>
      </c>
      <c r="F400" t="s">
        <v>3832</v>
      </c>
      <c r="G400" t="s">
        <v>30</v>
      </c>
      <c r="H400" t="s">
        <v>3833</v>
      </c>
      <c r="I400" t="s">
        <v>3834</v>
      </c>
      <c r="J400" t="s">
        <v>239</v>
      </c>
      <c r="K400" t="s">
        <v>228</v>
      </c>
      <c r="L400" s="1">
        <v>46241</v>
      </c>
      <c r="M400" t="s">
        <v>757</v>
      </c>
      <c r="N400">
        <v>748282</v>
      </c>
      <c r="O400" t="s">
        <v>228</v>
      </c>
      <c r="P400" t="s">
        <v>250</v>
      </c>
      <c r="Q400">
        <v>258</v>
      </c>
      <c r="R400" t="s">
        <v>250</v>
      </c>
      <c r="S400" t="s">
        <v>3835</v>
      </c>
      <c r="T400">
        <v>78</v>
      </c>
      <c r="U400" t="s">
        <v>3836</v>
      </c>
      <c r="V400" t="s">
        <v>54</v>
      </c>
      <c r="W400" t="s">
        <v>75</v>
      </c>
      <c r="X400" t="s">
        <v>3837</v>
      </c>
      <c r="Y400" t="s">
        <v>3838</v>
      </c>
      <c r="Z400" t="s">
        <v>3787</v>
      </c>
    </row>
    <row r="401" spans="1:26" x14ac:dyDescent="0.2">
      <c r="A401">
        <v>397</v>
      </c>
      <c r="B401" t="s">
        <v>3839</v>
      </c>
      <c r="C401">
        <v>2009</v>
      </c>
      <c r="D401" t="s">
        <v>140</v>
      </c>
      <c r="E401" t="s">
        <v>2260</v>
      </c>
      <c r="F401" t="s">
        <v>3840</v>
      </c>
      <c r="G401" t="s">
        <v>30</v>
      </c>
      <c r="H401" t="s">
        <v>3841</v>
      </c>
      <c r="I401" t="s">
        <v>3842</v>
      </c>
      <c r="J401" t="s">
        <v>614</v>
      </c>
      <c r="K401" t="s">
        <v>250</v>
      </c>
      <c r="L401" s="1">
        <v>46241</v>
      </c>
      <c r="M401" t="s">
        <v>757</v>
      </c>
      <c r="N401">
        <v>281862</v>
      </c>
      <c r="O401" t="s">
        <v>304</v>
      </c>
      <c r="P401" t="s">
        <v>484</v>
      </c>
      <c r="Q401">
        <v>149</v>
      </c>
      <c r="R401" t="s">
        <v>1930</v>
      </c>
      <c r="S401" t="s">
        <v>3843</v>
      </c>
      <c r="T401">
        <v>84</v>
      </c>
      <c r="U401" t="s">
        <v>3844</v>
      </c>
      <c r="V401" t="s">
        <v>35</v>
      </c>
      <c r="W401" t="s">
        <v>660</v>
      </c>
      <c r="X401" t="s">
        <v>3845</v>
      </c>
      <c r="Y401" t="s">
        <v>3846</v>
      </c>
      <c r="Z401" t="s">
        <v>3787</v>
      </c>
    </row>
    <row r="402" spans="1:26" x14ac:dyDescent="0.2">
      <c r="A402">
        <v>398</v>
      </c>
      <c r="B402" t="s">
        <v>3847</v>
      </c>
      <c r="C402">
        <v>2017</v>
      </c>
      <c r="D402" t="s">
        <v>3117</v>
      </c>
      <c r="E402" t="s">
        <v>1778</v>
      </c>
      <c r="F402" t="s">
        <v>3848</v>
      </c>
      <c r="G402" t="s">
        <v>30</v>
      </c>
      <c r="H402" t="s">
        <v>3849</v>
      </c>
      <c r="K402" t="s">
        <v>250</v>
      </c>
      <c r="L402" s="1">
        <v>46119</v>
      </c>
      <c r="M402" t="s">
        <v>1930</v>
      </c>
      <c r="N402">
        <v>349719</v>
      </c>
      <c r="O402" t="s">
        <v>34</v>
      </c>
      <c r="P402" t="s">
        <v>97</v>
      </c>
      <c r="Q402">
        <v>259</v>
      </c>
      <c r="R402" t="s">
        <v>1225</v>
      </c>
      <c r="S402" t="s">
        <v>3850</v>
      </c>
      <c r="T402">
        <v>76</v>
      </c>
      <c r="U402" t="s">
        <v>3851</v>
      </c>
      <c r="V402" t="s">
        <v>757</v>
      </c>
      <c r="W402" t="s">
        <v>2637</v>
      </c>
      <c r="X402" t="s">
        <v>3852</v>
      </c>
      <c r="Y402" t="s">
        <v>3853</v>
      </c>
      <c r="Z402" t="s">
        <v>3787</v>
      </c>
    </row>
    <row r="403" spans="1:26" x14ac:dyDescent="0.2">
      <c r="A403">
        <v>399</v>
      </c>
      <c r="B403" t="s">
        <v>3854</v>
      </c>
      <c r="C403">
        <v>1973</v>
      </c>
      <c r="D403" t="s">
        <v>3324</v>
      </c>
      <c r="E403" t="s">
        <v>3855</v>
      </c>
      <c r="F403" t="s">
        <v>3856</v>
      </c>
      <c r="G403" t="s">
        <v>30</v>
      </c>
      <c r="H403" t="s">
        <v>3857</v>
      </c>
      <c r="I403" t="s">
        <v>3858</v>
      </c>
      <c r="J403" t="s">
        <v>3859</v>
      </c>
      <c r="K403" t="s">
        <v>228</v>
      </c>
      <c r="L403" s="1">
        <v>46149</v>
      </c>
      <c r="M403" t="s">
        <v>1270</v>
      </c>
      <c r="N403">
        <v>98951</v>
      </c>
      <c r="O403" t="s">
        <v>179</v>
      </c>
      <c r="P403" t="s">
        <v>250</v>
      </c>
      <c r="Q403">
        <v>66</v>
      </c>
      <c r="R403" t="s">
        <v>484</v>
      </c>
      <c r="S403" t="s">
        <v>3860</v>
      </c>
      <c r="T403">
        <v>80</v>
      </c>
      <c r="U403" t="s">
        <v>3861</v>
      </c>
      <c r="V403" t="s">
        <v>271</v>
      </c>
      <c r="W403" t="s">
        <v>75</v>
      </c>
      <c r="X403" t="s">
        <v>3862</v>
      </c>
      <c r="Y403" t="s">
        <v>3863</v>
      </c>
      <c r="Z403" t="s">
        <v>3787</v>
      </c>
    </row>
    <row r="404" spans="1:26" x14ac:dyDescent="0.2">
      <c r="A404">
        <v>400</v>
      </c>
      <c r="B404" t="s">
        <v>3864</v>
      </c>
      <c r="C404">
        <v>2014</v>
      </c>
      <c r="D404" t="s">
        <v>3865</v>
      </c>
      <c r="E404" t="s">
        <v>3866</v>
      </c>
      <c r="F404" t="s">
        <v>3867</v>
      </c>
      <c r="G404" t="s">
        <v>30</v>
      </c>
      <c r="H404" t="s">
        <v>3868</v>
      </c>
      <c r="I404" t="s">
        <v>2857</v>
      </c>
      <c r="J404" t="s">
        <v>3869</v>
      </c>
      <c r="K404" t="s">
        <v>228</v>
      </c>
      <c r="L404" s="1">
        <v>46180</v>
      </c>
      <c r="M404" t="s">
        <v>1241</v>
      </c>
      <c r="N404">
        <v>207384</v>
      </c>
      <c r="O404" t="s">
        <v>1241</v>
      </c>
      <c r="P404" t="s">
        <v>757</v>
      </c>
      <c r="Q404">
        <v>140</v>
      </c>
      <c r="R404" t="s">
        <v>204</v>
      </c>
      <c r="S404" t="s">
        <v>3870</v>
      </c>
      <c r="T404">
        <v>82</v>
      </c>
      <c r="U404" t="s">
        <v>3871</v>
      </c>
      <c r="V404" t="s">
        <v>35</v>
      </c>
      <c r="W404" t="s">
        <v>75</v>
      </c>
      <c r="X404" t="s">
        <v>3872</v>
      </c>
      <c r="Y404" t="s">
        <v>3873</v>
      </c>
      <c r="Z404" t="s">
        <v>3787</v>
      </c>
    </row>
    <row r="405" spans="1:26" x14ac:dyDescent="0.2">
      <c r="A405">
        <v>401</v>
      </c>
      <c r="B405" t="s">
        <v>3874</v>
      </c>
      <c r="C405">
        <v>2018</v>
      </c>
      <c r="D405" t="s">
        <v>3875</v>
      </c>
      <c r="E405" t="s">
        <v>3876</v>
      </c>
      <c r="F405" t="s">
        <v>3877</v>
      </c>
      <c r="G405" t="s">
        <v>155</v>
      </c>
      <c r="H405" t="s">
        <v>3878</v>
      </c>
      <c r="K405" t="s">
        <v>228</v>
      </c>
      <c r="L405" s="1">
        <v>46119</v>
      </c>
      <c r="M405" t="s">
        <v>1930</v>
      </c>
      <c r="N405">
        <v>81046</v>
      </c>
      <c r="O405" t="s">
        <v>74</v>
      </c>
      <c r="P405" t="s">
        <v>179</v>
      </c>
      <c r="Q405">
        <v>133</v>
      </c>
      <c r="R405" t="s">
        <v>757</v>
      </c>
      <c r="S405" t="s">
        <v>3879</v>
      </c>
      <c r="T405">
        <v>80</v>
      </c>
      <c r="U405" t="s">
        <v>3880</v>
      </c>
      <c r="V405" t="s">
        <v>1241</v>
      </c>
      <c r="W405" t="s">
        <v>3881</v>
      </c>
      <c r="X405" t="s">
        <v>3882</v>
      </c>
      <c r="Y405" t="s">
        <v>3883</v>
      </c>
      <c r="Z405" t="s">
        <v>228</v>
      </c>
    </row>
    <row r="406" spans="1:26" x14ac:dyDescent="0.2">
      <c r="A406">
        <v>402</v>
      </c>
      <c r="B406" t="s">
        <v>3884</v>
      </c>
      <c r="C406">
        <v>2002</v>
      </c>
      <c r="D406" t="s">
        <v>2035</v>
      </c>
      <c r="E406" t="s">
        <v>2063</v>
      </c>
      <c r="F406" t="s">
        <v>3885</v>
      </c>
      <c r="G406" t="s">
        <v>30</v>
      </c>
      <c r="H406" t="s">
        <v>3886</v>
      </c>
      <c r="I406" t="s">
        <v>3887</v>
      </c>
      <c r="J406" t="s">
        <v>53</v>
      </c>
      <c r="K406" t="s">
        <v>228</v>
      </c>
      <c r="L406" s="1">
        <v>46210</v>
      </c>
      <c r="M406" t="s">
        <v>1225</v>
      </c>
      <c r="N406">
        <v>208162</v>
      </c>
      <c r="O406" t="s">
        <v>204</v>
      </c>
      <c r="P406" t="s">
        <v>250</v>
      </c>
      <c r="Q406">
        <v>107</v>
      </c>
      <c r="R406" t="s">
        <v>250</v>
      </c>
      <c r="S406" t="s">
        <v>3888</v>
      </c>
      <c r="T406">
        <v>82</v>
      </c>
      <c r="U406" t="s">
        <v>3889</v>
      </c>
      <c r="V406" t="s">
        <v>304</v>
      </c>
      <c r="W406" t="s">
        <v>75</v>
      </c>
      <c r="X406" t="s">
        <v>3890</v>
      </c>
      <c r="Y406" t="s">
        <v>3891</v>
      </c>
      <c r="Z406" t="s">
        <v>228</v>
      </c>
    </row>
    <row r="407" spans="1:26" x14ac:dyDescent="0.2">
      <c r="A407">
        <v>403</v>
      </c>
      <c r="B407" t="s">
        <v>3892</v>
      </c>
      <c r="C407">
        <v>2013</v>
      </c>
      <c r="D407" t="s">
        <v>3893</v>
      </c>
      <c r="E407" t="s">
        <v>174</v>
      </c>
      <c r="F407" t="s">
        <v>3894</v>
      </c>
      <c r="G407" t="s">
        <v>30</v>
      </c>
      <c r="H407" t="s">
        <v>3895</v>
      </c>
      <c r="I407" t="s">
        <v>3896</v>
      </c>
      <c r="J407" t="s">
        <v>3897</v>
      </c>
      <c r="K407" t="s">
        <v>228</v>
      </c>
      <c r="L407" s="1">
        <v>46061</v>
      </c>
      <c r="M407" t="s">
        <v>250</v>
      </c>
      <c r="N407">
        <v>1670167</v>
      </c>
      <c r="O407" t="s">
        <v>1270</v>
      </c>
      <c r="P407" t="s">
        <v>1225</v>
      </c>
      <c r="Q407">
        <v>201</v>
      </c>
      <c r="R407" t="s">
        <v>250</v>
      </c>
      <c r="S407" t="s">
        <v>3898</v>
      </c>
      <c r="T407">
        <v>80</v>
      </c>
      <c r="U407" t="s">
        <v>3899</v>
      </c>
      <c r="V407" t="s">
        <v>41</v>
      </c>
      <c r="W407" t="s">
        <v>3900</v>
      </c>
      <c r="X407" t="s">
        <v>3901</v>
      </c>
      <c r="Y407" t="s">
        <v>3902</v>
      </c>
      <c r="Z407" t="s">
        <v>228</v>
      </c>
    </row>
    <row r="408" spans="1:26" x14ac:dyDescent="0.2">
      <c r="A408">
        <v>404</v>
      </c>
      <c r="B408" t="s">
        <v>3903</v>
      </c>
      <c r="C408">
        <v>2013</v>
      </c>
      <c r="D408" t="s">
        <v>65</v>
      </c>
      <c r="E408" t="s">
        <v>3904</v>
      </c>
      <c r="F408" t="s">
        <v>3905</v>
      </c>
      <c r="G408" t="s">
        <v>189</v>
      </c>
      <c r="H408" t="s">
        <v>3906</v>
      </c>
      <c r="I408" t="s">
        <v>3907</v>
      </c>
      <c r="J408" t="s">
        <v>687</v>
      </c>
      <c r="K408" t="s">
        <v>228</v>
      </c>
      <c r="L408" s="1">
        <v>46210</v>
      </c>
      <c r="M408" t="s">
        <v>1225</v>
      </c>
      <c r="N408">
        <v>101827</v>
      </c>
      <c r="O408" t="s">
        <v>54</v>
      </c>
      <c r="P408" t="s">
        <v>250</v>
      </c>
      <c r="Q408">
        <v>107</v>
      </c>
      <c r="R408" t="s">
        <v>757</v>
      </c>
      <c r="S408" t="s">
        <v>3908</v>
      </c>
      <c r="T408">
        <v>82</v>
      </c>
      <c r="U408" t="s">
        <v>3909</v>
      </c>
      <c r="V408" t="s">
        <v>228</v>
      </c>
      <c r="W408" t="s">
        <v>135</v>
      </c>
      <c r="X408" t="s">
        <v>3910</v>
      </c>
      <c r="Y408" t="s">
        <v>3911</v>
      </c>
      <c r="Z408" t="s">
        <v>228</v>
      </c>
    </row>
    <row r="409" spans="1:26" x14ac:dyDescent="0.2">
      <c r="A409">
        <v>405</v>
      </c>
      <c r="B409" t="s">
        <v>3912</v>
      </c>
      <c r="C409">
        <v>2003</v>
      </c>
      <c r="D409" t="s">
        <v>992</v>
      </c>
      <c r="E409" t="s">
        <v>3913</v>
      </c>
      <c r="F409" t="s">
        <v>3914</v>
      </c>
      <c r="G409" t="s">
        <v>30</v>
      </c>
      <c r="H409" t="s">
        <v>3915</v>
      </c>
      <c r="I409" t="s">
        <v>3916</v>
      </c>
      <c r="J409" t="s">
        <v>3917</v>
      </c>
      <c r="K409" t="s">
        <v>304</v>
      </c>
      <c r="L409" s="1">
        <v>46119</v>
      </c>
      <c r="M409" t="s">
        <v>1930</v>
      </c>
      <c r="N409">
        <v>53472</v>
      </c>
      <c r="O409" t="s">
        <v>41</v>
      </c>
      <c r="P409" t="s">
        <v>107</v>
      </c>
      <c r="Q409">
        <v>92</v>
      </c>
      <c r="R409" t="s">
        <v>250</v>
      </c>
      <c r="S409" t="s">
        <v>3918</v>
      </c>
      <c r="T409">
        <v>76</v>
      </c>
      <c r="U409" t="s">
        <v>3919</v>
      </c>
      <c r="V409" t="s">
        <v>484</v>
      </c>
      <c r="W409" t="s">
        <v>135</v>
      </c>
      <c r="X409" t="s">
        <v>3920</v>
      </c>
      <c r="Y409" t="s">
        <v>3921</v>
      </c>
      <c r="Z409" t="s">
        <v>228</v>
      </c>
    </row>
    <row r="410" spans="1:26" x14ac:dyDescent="0.2">
      <c r="A410">
        <v>406</v>
      </c>
      <c r="B410" t="s">
        <v>3922</v>
      </c>
      <c r="C410">
        <v>2002</v>
      </c>
      <c r="D410" t="s">
        <v>27</v>
      </c>
      <c r="E410" t="s">
        <v>81</v>
      </c>
      <c r="F410" t="s">
        <v>3923</v>
      </c>
      <c r="G410" t="s">
        <v>30</v>
      </c>
      <c r="H410" t="s">
        <v>3924</v>
      </c>
      <c r="I410" t="s">
        <v>3925</v>
      </c>
      <c r="J410" t="s">
        <v>1885</v>
      </c>
      <c r="K410" t="s">
        <v>304</v>
      </c>
      <c r="L410" s="1">
        <v>46030</v>
      </c>
      <c r="M410" t="s">
        <v>228</v>
      </c>
      <c r="N410">
        <v>1154771</v>
      </c>
      <c r="O410" t="s">
        <v>1270</v>
      </c>
      <c r="P410" t="s">
        <v>757</v>
      </c>
      <c r="Q410">
        <v>121</v>
      </c>
      <c r="R410" t="s">
        <v>54</v>
      </c>
      <c r="S410" t="s">
        <v>3926</v>
      </c>
      <c r="T410">
        <v>80</v>
      </c>
      <c r="U410" t="s">
        <v>3927</v>
      </c>
      <c r="V410" t="s">
        <v>54</v>
      </c>
      <c r="W410" t="s">
        <v>3679</v>
      </c>
      <c r="X410" t="s">
        <v>3928</v>
      </c>
      <c r="Y410" t="s">
        <v>3929</v>
      </c>
      <c r="Z410" t="s">
        <v>228</v>
      </c>
    </row>
    <row r="411" spans="1:26" x14ac:dyDescent="0.2">
      <c r="A411">
        <v>407</v>
      </c>
      <c r="B411" t="s">
        <v>3930</v>
      </c>
      <c r="C411">
        <v>2022</v>
      </c>
      <c r="D411" t="s">
        <v>1515</v>
      </c>
      <c r="E411" t="s">
        <v>3931</v>
      </c>
      <c r="F411" t="s">
        <v>3932</v>
      </c>
      <c r="G411" t="s">
        <v>3933</v>
      </c>
      <c r="H411" t="s">
        <v>3934</v>
      </c>
      <c r="K411" t="s">
        <v>228</v>
      </c>
      <c r="L411" s="1">
        <v>46149</v>
      </c>
      <c r="M411" t="s">
        <v>1270</v>
      </c>
      <c r="N411">
        <v>22764</v>
      </c>
      <c r="O411" t="s">
        <v>107</v>
      </c>
      <c r="P411" t="s">
        <v>107</v>
      </c>
      <c r="Q411">
        <v>52</v>
      </c>
      <c r="S411" t="s">
        <v>3935</v>
      </c>
      <c r="T411">
        <v>82</v>
      </c>
      <c r="U411" t="s">
        <v>3936</v>
      </c>
      <c r="V411" t="s">
        <v>757</v>
      </c>
      <c r="W411" t="s">
        <v>2387</v>
      </c>
      <c r="X411" t="s">
        <v>3937</v>
      </c>
      <c r="Y411" t="s">
        <v>3938</v>
      </c>
      <c r="Z411" t="s">
        <v>228</v>
      </c>
    </row>
    <row r="412" spans="1:26" x14ac:dyDescent="0.2">
      <c r="A412">
        <v>408</v>
      </c>
      <c r="B412" t="s">
        <v>3939</v>
      </c>
      <c r="C412">
        <v>2022</v>
      </c>
      <c r="D412" t="s">
        <v>3940</v>
      </c>
      <c r="E412" t="s">
        <v>3941</v>
      </c>
      <c r="F412" t="s">
        <v>3942</v>
      </c>
      <c r="G412" t="s">
        <v>492</v>
      </c>
      <c r="H412" t="s">
        <v>3943</v>
      </c>
      <c r="K412" t="s">
        <v>228</v>
      </c>
      <c r="L412" s="1">
        <v>46180</v>
      </c>
      <c r="M412" t="s">
        <v>1241</v>
      </c>
      <c r="N412">
        <v>33863</v>
      </c>
      <c r="O412" t="s">
        <v>757</v>
      </c>
      <c r="P412" t="s">
        <v>304</v>
      </c>
      <c r="Q412">
        <v>51</v>
      </c>
      <c r="S412" t="s">
        <v>3944</v>
      </c>
      <c r="T412">
        <v>80</v>
      </c>
      <c r="U412" t="s">
        <v>3945</v>
      </c>
      <c r="V412" t="s">
        <v>74</v>
      </c>
      <c r="W412" t="s">
        <v>2216</v>
      </c>
      <c r="X412" t="s">
        <v>3946</v>
      </c>
      <c r="Y412" t="s">
        <v>3947</v>
      </c>
      <c r="Z412" t="s">
        <v>228</v>
      </c>
    </row>
    <row r="413" spans="1:26" x14ac:dyDescent="0.2">
      <c r="A413">
        <v>409</v>
      </c>
      <c r="B413" t="s">
        <v>3948</v>
      </c>
      <c r="C413">
        <v>2018</v>
      </c>
      <c r="D413" t="s">
        <v>3949</v>
      </c>
      <c r="E413" t="s">
        <v>701</v>
      </c>
      <c r="F413" t="s">
        <v>3950</v>
      </c>
      <c r="G413" t="s">
        <v>30</v>
      </c>
      <c r="H413" t="s">
        <v>3951</v>
      </c>
      <c r="K413" t="s">
        <v>228</v>
      </c>
      <c r="L413" s="1">
        <v>46149</v>
      </c>
      <c r="M413" t="s">
        <v>1270</v>
      </c>
      <c r="N413">
        <v>300877</v>
      </c>
      <c r="O413" t="s">
        <v>204</v>
      </c>
      <c r="P413" t="s">
        <v>204</v>
      </c>
      <c r="Q413">
        <v>271</v>
      </c>
      <c r="R413" t="s">
        <v>228</v>
      </c>
      <c r="S413" t="s">
        <v>3952</v>
      </c>
      <c r="T413">
        <v>78</v>
      </c>
      <c r="U413" t="s">
        <v>3953</v>
      </c>
      <c r="V413" t="s">
        <v>54</v>
      </c>
      <c r="W413" t="s">
        <v>3954</v>
      </c>
      <c r="X413" t="s">
        <v>3955</v>
      </c>
      <c r="Y413" t="s">
        <v>3956</v>
      </c>
      <c r="Z413" t="s">
        <v>228</v>
      </c>
    </row>
    <row r="414" spans="1:26" x14ac:dyDescent="0.2">
      <c r="A414">
        <v>410</v>
      </c>
      <c r="B414" t="s">
        <v>3957</v>
      </c>
      <c r="C414">
        <v>1976</v>
      </c>
      <c r="D414" t="s">
        <v>3958</v>
      </c>
      <c r="E414" t="s">
        <v>2120</v>
      </c>
      <c r="F414" t="s">
        <v>3959</v>
      </c>
      <c r="G414" t="s">
        <v>30</v>
      </c>
      <c r="H414" t="s">
        <v>3960</v>
      </c>
      <c r="I414" t="s">
        <v>3961</v>
      </c>
      <c r="J414" t="s">
        <v>3962</v>
      </c>
      <c r="K414" t="s">
        <v>228</v>
      </c>
      <c r="L414" s="1">
        <v>46088</v>
      </c>
      <c r="M414" t="s">
        <v>2978</v>
      </c>
      <c r="N414">
        <v>58164</v>
      </c>
      <c r="O414" t="s">
        <v>97</v>
      </c>
      <c r="P414" t="s">
        <v>228</v>
      </c>
      <c r="Q414">
        <v>57</v>
      </c>
      <c r="R414" t="s">
        <v>757</v>
      </c>
      <c r="S414" t="s">
        <v>3963</v>
      </c>
      <c r="T414">
        <v>76</v>
      </c>
      <c r="U414" t="s">
        <v>3964</v>
      </c>
      <c r="V414" t="s">
        <v>157</v>
      </c>
      <c r="W414" t="s">
        <v>253</v>
      </c>
      <c r="X414" t="s">
        <v>3965</v>
      </c>
      <c r="Y414" t="s">
        <v>3966</v>
      </c>
      <c r="Z414" t="s">
        <v>3967</v>
      </c>
    </row>
    <row r="415" spans="1:26" x14ac:dyDescent="0.2">
      <c r="A415">
        <v>411</v>
      </c>
      <c r="B415" t="s">
        <v>3968</v>
      </c>
      <c r="C415">
        <v>1977</v>
      </c>
      <c r="D415" t="s">
        <v>3324</v>
      </c>
      <c r="E415" t="s">
        <v>1664</v>
      </c>
      <c r="F415" t="s">
        <v>3969</v>
      </c>
      <c r="G415" t="s">
        <v>30</v>
      </c>
      <c r="H415" t="s">
        <v>3970</v>
      </c>
      <c r="I415" t="s">
        <v>1064</v>
      </c>
      <c r="J415" t="s">
        <v>3971</v>
      </c>
      <c r="K415" t="s">
        <v>228</v>
      </c>
      <c r="L415" s="1">
        <v>46088</v>
      </c>
      <c r="M415" t="s">
        <v>2978</v>
      </c>
      <c r="N415">
        <v>135915</v>
      </c>
      <c r="O415" t="s">
        <v>179</v>
      </c>
      <c r="P415" t="s">
        <v>107</v>
      </c>
      <c r="Q415">
        <v>70</v>
      </c>
      <c r="R415" t="s">
        <v>304</v>
      </c>
      <c r="S415" t="s">
        <v>3972</v>
      </c>
      <c r="T415">
        <v>76</v>
      </c>
      <c r="U415" t="s">
        <v>3973</v>
      </c>
      <c r="V415" t="s">
        <v>271</v>
      </c>
      <c r="W415" t="s">
        <v>135</v>
      </c>
      <c r="X415" t="s">
        <v>3974</v>
      </c>
      <c r="Y415" t="s">
        <v>3975</v>
      </c>
      <c r="Z415" t="s">
        <v>3967</v>
      </c>
    </row>
    <row r="416" spans="1:26" x14ac:dyDescent="0.2">
      <c r="A416">
        <v>412</v>
      </c>
      <c r="B416" t="s">
        <v>3976</v>
      </c>
      <c r="C416">
        <v>2017</v>
      </c>
      <c r="D416" t="s">
        <v>3977</v>
      </c>
      <c r="E416" t="s">
        <v>3308</v>
      </c>
      <c r="F416" t="s">
        <v>3978</v>
      </c>
      <c r="G416" t="s">
        <v>30</v>
      </c>
      <c r="H416" t="s">
        <v>3979</v>
      </c>
      <c r="K416" t="s">
        <v>304</v>
      </c>
      <c r="L416" s="1">
        <v>46149</v>
      </c>
      <c r="M416" t="s">
        <v>1270</v>
      </c>
      <c r="N416">
        <v>646064</v>
      </c>
      <c r="O416" t="s">
        <v>54</v>
      </c>
      <c r="P416" t="s">
        <v>250</v>
      </c>
      <c r="Q416">
        <v>259</v>
      </c>
      <c r="R416" t="s">
        <v>204</v>
      </c>
      <c r="S416" t="s">
        <v>3980</v>
      </c>
      <c r="T416">
        <v>74</v>
      </c>
      <c r="U416" t="s">
        <v>3981</v>
      </c>
      <c r="V416" t="s">
        <v>107</v>
      </c>
      <c r="W416" t="s">
        <v>75</v>
      </c>
      <c r="X416" t="s">
        <v>3982</v>
      </c>
      <c r="Y416" t="s">
        <v>3983</v>
      </c>
      <c r="Z416" t="s">
        <v>3967</v>
      </c>
    </row>
    <row r="417" spans="1:26" x14ac:dyDescent="0.2">
      <c r="A417">
        <v>413</v>
      </c>
      <c r="B417" t="s">
        <v>3984</v>
      </c>
      <c r="C417">
        <v>2009</v>
      </c>
      <c r="D417" t="s">
        <v>140</v>
      </c>
      <c r="E417" t="s">
        <v>3985</v>
      </c>
      <c r="F417" t="s">
        <v>3986</v>
      </c>
      <c r="G417" t="s">
        <v>30</v>
      </c>
      <c r="H417" t="s">
        <v>3987</v>
      </c>
      <c r="I417" t="s">
        <v>3988</v>
      </c>
      <c r="J417" t="s">
        <v>1570</v>
      </c>
      <c r="K417" t="s">
        <v>304</v>
      </c>
      <c r="L417" s="1">
        <v>46149</v>
      </c>
      <c r="M417" t="s">
        <v>1270</v>
      </c>
      <c r="N417">
        <v>39450</v>
      </c>
      <c r="O417" t="s">
        <v>228</v>
      </c>
      <c r="P417" t="s">
        <v>1225</v>
      </c>
      <c r="Q417">
        <v>59</v>
      </c>
      <c r="R417" t="s">
        <v>250</v>
      </c>
      <c r="S417" t="s">
        <v>3989</v>
      </c>
      <c r="T417">
        <v>76</v>
      </c>
      <c r="U417" t="s">
        <v>3990</v>
      </c>
      <c r="V417" t="s">
        <v>57</v>
      </c>
      <c r="W417" t="s">
        <v>75</v>
      </c>
      <c r="X417" t="s">
        <v>3991</v>
      </c>
      <c r="Y417" t="s">
        <v>3992</v>
      </c>
      <c r="Z417" t="s">
        <v>3967</v>
      </c>
    </row>
    <row r="418" spans="1:26" x14ac:dyDescent="0.2">
      <c r="A418">
        <v>414</v>
      </c>
      <c r="B418" t="s">
        <v>3993</v>
      </c>
      <c r="C418">
        <v>1961</v>
      </c>
      <c r="D418" t="s">
        <v>1544</v>
      </c>
      <c r="E418" t="s">
        <v>3994</v>
      </c>
      <c r="F418" t="s">
        <v>3995</v>
      </c>
      <c r="G418" t="s">
        <v>30</v>
      </c>
      <c r="H418" t="s">
        <v>3996</v>
      </c>
      <c r="I418" t="s">
        <v>3997</v>
      </c>
      <c r="J418" t="s">
        <v>1065</v>
      </c>
      <c r="K418" t="s">
        <v>228</v>
      </c>
      <c r="L418" s="1">
        <v>46180</v>
      </c>
      <c r="M418" t="s">
        <v>1241</v>
      </c>
      <c r="N418">
        <v>124268</v>
      </c>
      <c r="O418" t="s">
        <v>54</v>
      </c>
      <c r="P418" t="s">
        <v>107</v>
      </c>
      <c r="Q418">
        <v>76</v>
      </c>
      <c r="R418" t="s">
        <v>228</v>
      </c>
      <c r="S418" t="s">
        <v>3998</v>
      </c>
      <c r="T418">
        <v>76</v>
      </c>
      <c r="U418" t="s">
        <v>3999</v>
      </c>
      <c r="V418" t="s">
        <v>228</v>
      </c>
      <c r="W418" t="s">
        <v>135</v>
      </c>
      <c r="X418" t="s">
        <v>4000</v>
      </c>
      <c r="Y418" t="s">
        <v>4001</v>
      </c>
      <c r="Z418" t="s">
        <v>3967</v>
      </c>
    </row>
    <row r="419" spans="1:26" x14ac:dyDescent="0.2">
      <c r="A419">
        <v>415</v>
      </c>
      <c r="B419" t="s">
        <v>4002</v>
      </c>
      <c r="C419">
        <v>1973</v>
      </c>
      <c r="D419" t="s">
        <v>4003</v>
      </c>
      <c r="E419" t="s">
        <v>4004</v>
      </c>
      <c r="F419" t="s">
        <v>4005</v>
      </c>
      <c r="G419" t="s">
        <v>30</v>
      </c>
      <c r="H419" t="s">
        <v>4006</v>
      </c>
      <c r="I419" t="s">
        <v>4007</v>
      </c>
      <c r="J419" t="s">
        <v>33</v>
      </c>
      <c r="K419" t="s">
        <v>250</v>
      </c>
      <c r="L419" s="1">
        <v>46029</v>
      </c>
      <c r="M419" t="s">
        <v>2162</v>
      </c>
      <c r="N419">
        <v>65824</v>
      </c>
      <c r="O419" t="s">
        <v>38</v>
      </c>
      <c r="P419" t="s">
        <v>74</v>
      </c>
      <c r="Q419">
        <v>72</v>
      </c>
      <c r="R419" t="s">
        <v>1930</v>
      </c>
      <c r="S419" t="s">
        <v>4008</v>
      </c>
      <c r="T419">
        <v>76</v>
      </c>
      <c r="U419" t="s">
        <v>4009</v>
      </c>
      <c r="V419" t="s">
        <v>757</v>
      </c>
      <c r="W419" t="s">
        <v>75</v>
      </c>
      <c r="X419" t="s">
        <v>4010</v>
      </c>
      <c r="Y419" t="s">
        <v>4011</v>
      </c>
      <c r="Z419" t="s">
        <v>3967</v>
      </c>
    </row>
    <row r="420" spans="1:26" x14ac:dyDescent="0.2">
      <c r="A420">
        <v>416</v>
      </c>
      <c r="B420" t="s">
        <v>4012</v>
      </c>
      <c r="C420">
        <v>2011</v>
      </c>
      <c r="D420" t="s">
        <v>27</v>
      </c>
      <c r="E420" t="s">
        <v>2678</v>
      </c>
      <c r="F420" t="s">
        <v>4013</v>
      </c>
      <c r="G420" t="s">
        <v>2680</v>
      </c>
      <c r="H420" t="s">
        <v>4014</v>
      </c>
      <c r="I420" t="s">
        <v>4015</v>
      </c>
      <c r="J420" t="s">
        <v>4016</v>
      </c>
      <c r="K420" t="s">
        <v>250</v>
      </c>
      <c r="L420" s="1">
        <v>46241</v>
      </c>
      <c r="M420" t="s">
        <v>757</v>
      </c>
      <c r="N420">
        <v>51984</v>
      </c>
      <c r="O420" t="s">
        <v>250</v>
      </c>
      <c r="P420" t="s">
        <v>250</v>
      </c>
      <c r="Q420">
        <v>69</v>
      </c>
      <c r="R420" t="s">
        <v>1930</v>
      </c>
      <c r="S420" t="s">
        <v>4017</v>
      </c>
      <c r="T420">
        <v>84</v>
      </c>
      <c r="U420" t="s">
        <v>4018</v>
      </c>
      <c r="V420" t="s">
        <v>107</v>
      </c>
      <c r="W420" t="s">
        <v>325</v>
      </c>
      <c r="X420" t="s">
        <v>4019</v>
      </c>
      <c r="Y420" t="s">
        <v>4020</v>
      </c>
      <c r="Z420" t="s">
        <v>3967</v>
      </c>
    </row>
    <row r="421" spans="1:26" x14ac:dyDescent="0.2">
      <c r="A421">
        <v>417</v>
      </c>
      <c r="B421" t="s">
        <v>4021</v>
      </c>
      <c r="C421">
        <v>2023</v>
      </c>
      <c r="D421" t="s">
        <v>1412</v>
      </c>
      <c r="E421" t="s">
        <v>4022</v>
      </c>
      <c r="F421" t="s">
        <v>4023</v>
      </c>
      <c r="G421" t="s">
        <v>321</v>
      </c>
      <c r="H421" t="s">
        <v>4024</v>
      </c>
      <c r="K421" t="s">
        <v>228</v>
      </c>
      <c r="L421" s="1">
        <v>46119</v>
      </c>
      <c r="M421" t="s">
        <v>1930</v>
      </c>
      <c r="N421">
        <v>17334</v>
      </c>
      <c r="O421" t="s">
        <v>107</v>
      </c>
      <c r="P421" t="s">
        <v>107</v>
      </c>
      <c r="Q421">
        <v>106</v>
      </c>
      <c r="S421" t="s">
        <v>4025</v>
      </c>
      <c r="T421">
        <v>80</v>
      </c>
      <c r="U421" t="s">
        <v>4026</v>
      </c>
      <c r="V421" t="s">
        <v>304</v>
      </c>
      <c r="X421" t="s">
        <v>4027</v>
      </c>
      <c r="Y421" t="s">
        <v>4028</v>
      </c>
      <c r="Z421" t="s">
        <v>4029</v>
      </c>
    </row>
    <row r="422" spans="1:26" x14ac:dyDescent="0.2">
      <c r="A422">
        <v>418</v>
      </c>
      <c r="B422" t="s">
        <v>4030</v>
      </c>
      <c r="C422">
        <v>2021</v>
      </c>
      <c r="D422" t="s">
        <v>519</v>
      </c>
      <c r="E422" t="s">
        <v>4031</v>
      </c>
      <c r="F422" t="s">
        <v>4032</v>
      </c>
      <c r="G422" t="s">
        <v>30</v>
      </c>
      <c r="H422" t="s">
        <v>4033</v>
      </c>
      <c r="K422" t="s">
        <v>228</v>
      </c>
      <c r="L422" s="1">
        <v>46119</v>
      </c>
      <c r="M422" t="s">
        <v>1930</v>
      </c>
      <c r="N422">
        <v>94545</v>
      </c>
      <c r="O422" t="s">
        <v>271</v>
      </c>
      <c r="P422" t="s">
        <v>204</v>
      </c>
      <c r="Q422">
        <v>201</v>
      </c>
      <c r="S422" t="s">
        <v>4034</v>
      </c>
      <c r="T422">
        <v>80</v>
      </c>
      <c r="U422" t="s">
        <v>4035</v>
      </c>
      <c r="V422" t="s">
        <v>204</v>
      </c>
      <c r="X422" t="s">
        <v>4036</v>
      </c>
      <c r="Y422" t="s">
        <v>4037</v>
      </c>
      <c r="Z422" t="s">
        <v>4029</v>
      </c>
    </row>
    <row r="423" spans="1:26" x14ac:dyDescent="0.2">
      <c r="A423">
        <v>419</v>
      </c>
      <c r="B423" t="s">
        <v>4038</v>
      </c>
      <c r="C423">
        <v>2023</v>
      </c>
      <c r="D423" t="s">
        <v>519</v>
      </c>
      <c r="E423" t="s">
        <v>4039</v>
      </c>
      <c r="F423" t="s">
        <v>4040</v>
      </c>
      <c r="G423" t="s">
        <v>492</v>
      </c>
      <c r="H423" t="s">
        <v>4041</v>
      </c>
      <c r="K423" t="s">
        <v>228</v>
      </c>
      <c r="L423" s="1">
        <v>46241</v>
      </c>
      <c r="M423" t="s">
        <v>757</v>
      </c>
      <c r="N423">
        <v>159519</v>
      </c>
      <c r="O423" t="s">
        <v>1551</v>
      </c>
      <c r="P423" t="s">
        <v>1225</v>
      </c>
      <c r="Q423">
        <v>94</v>
      </c>
      <c r="S423" t="s">
        <v>4042</v>
      </c>
      <c r="T423">
        <v>82</v>
      </c>
      <c r="U423" t="s">
        <v>4043</v>
      </c>
      <c r="V423" t="s">
        <v>38</v>
      </c>
      <c r="W423" t="s">
        <v>885</v>
      </c>
      <c r="X423" t="s">
        <v>4044</v>
      </c>
      <c r="Y423" t="s">
        <v>4045</v>
      </c>
      <c r="Z423" t="s">
        <v>4029</v>
      </c>
    </row>
    <row r="424" spans="1:26" x14ac:dyDescent="0.2">
      <c r="A424">
        <v>420</v>
      </c>
      <c r="B424" t="s">
        <v>4046</v>
      </c>
      <c r="C424">
        <v>2022</v>
      </c>
      <c r="D424" t="s">
        <v>1161</v>
      </c>
      <c r="E424" t="s">
        <v>4047</v>
      </c>
      <c r="F424" t="s">
        <v>4048</v>
      </c>
      <c r="G424" t="s">
        <v>30</v>
      </c>
      <c r="H424" t="s">
        <v>4049</v>
      </c>
      <c r="K424" t="s">
        <v>228</v>
      </c>
      <c r="L424" s="1">
        <v>46180</v>
      </c>
      <c r="M424" t="s">
        <v>1241</v>
      </c>
      <c r="N424">
        <v>15708</v>
      </c>
      <c r="O424" t="s">
        <v>271</v>
      </c>
      <c r="P424" t="s">
        <v>204</v>
      </c>
      <c r="Q424">
        <v>93</v>
      </c>
      <c r="S424" t="s">
        <v>4050</v>
      </c>
      <c r="T424">
        <v>82</v>
      </c>
      <c r="U424" t="s">
        <v>4051</v>
      </c>
      <c r="V424" t="s">
        <v>484</v>
      </c>
      <c r="W424" t="s">
        <v>4052</v>
      </c>
      <c r="X424" t="s">
        <v>4053</v>
      </c>
      <c r="Y424" t="s">
        <v>4054</v>
      </c>
      <c r="Z424" t="s">
        <v>4029</v>
      </c>
    </row>
    <row r="425" spans="1:26" x14ac:dyDescent="0.2">
      <c r="A425">
        <v>421</v>
      </c>
      <c r="B425" t="s">
        <v>4055</v>
      </c>
      <c r="C425">
        <v>2022</v>
      </c>
      <c r="D425" t="s">
        <v>4056</v>
      </c>
      <c r="E425" t="s">
        <v>1230</v>
      </c>
      <c r="F425" t="s">
        <v>4057</v>
      </c>
      <c r="G425" t="s">
        <v>155</v>
      </c>
      <c r="H425" t="s">
        <v>4058</v>
      </c>
      <c r="K425" t="s">
        <v>228</v>
      </c>
      <c r="L425" s="1">
        <v>46088</v>
      </c>
      <c r="M425" t="s">
        <v>2978</v>
      </c>
      <c r="N425">
        <v>61599</v>
      </c>
      <c r="O425" t="s">
        <v>107</v>
      </c>
      <c r="P425" t="s">
        <v>271</v>
      </c>
      <c r="Q425">
        <v>146</v>
      </c>
      <c r="S425" t="s">
        <v>4059</v>
      </c>
      <c r="T425">
        <v>80</v>
      </c>
      <c r="U425" t="s">
        <v>4060</v>
      </c>
      <c r="V425" t="s">
        <v>250</v>
      </c>
      <c r="W425" t="s">
        <v>2387</v>
      </c>
      <c r="X425" t="s">
        <v>4061</v>
      </c>
      <c r="Y425" t="s">
        <v>4062</v>
      </c>
      <c r="Z425" t="s">
        <v>4029</v>
      </c>
    </row>
    <row r="426" spans="1:26" x14ac:dyDescent="0.2">
      <c r="A426">
        <v>422</v>
      </c>
      <c r="B426" t="s">
        <v>4063</v>
      </c>
      <c r="C426">
        <v>2015</v>
      </c>
      <c r="D426" t="s">
        <v>371</v>
      </c>
      <c r="E426" t="s">
        <v>4064</v>
      </c>
      <c r="F426" t="s">
        <v>4065</v>
      </c>
      <c r="G426" t="s">
        <v>30</v>
      </c>
      <c r="H426" t="s">
        <v>4066</v>
      </c>
      <c r="I426" t="s">
        <v>3605</v>
      </c>
      <c r="J426" t="s">
        <v>4067</v>
      </c>
      <c r="K426" t="s">
        <v>304</v>
      </c>
      <c r="L426" s="1">
        <v>46210</v>
      </c>
      <c r="M426" t="s">
        <v>1225</v>
      </c>
      <c r="N426">
        <v>614501</v>
      </c>
      <c r="O426" t="s">
        <v>757</v>
      </c>
      <c r="P426" t="s">
        <v>228</v>
      </c>
      <c r="Q426">
        <v>201</v>
      </c>
      <c r="R426" t="s">
        <v>204</v>
      </c>
      <c r="S426" t="s">
        <v>4068</v>
      </c>
      <c r="T426">
        <v>80</v>
      </c>
      <c r="U426" t="s">
        <v>4069</v>
      </c>
      <c r="V426" t="s">
        <v>107</v>
      </c>
      <c r="W426" t="s">
        <v>4070</v>
      </c>
      <c r="X426" t="s">
        <v>4071</v>
      </c>
      <c r="Y426" t="s">
        <v>4072</v>
      </c>
      <c r="Z426" t="s">
        <v>4073</v>
      </c>
    </row>
    <row r="427" spans="1:26" x14ac:dyDescent="0.2">
      <c r="A427">
        <v>423</v>
      </c>
      <c r="B427" t="s">
        <v>4074</v>
      </c>
      <c r="C427">
        <v>1981</v>
      </c>
      <c r="D427" t="s">
        <v>4075</v>
      </c>
      <c r="E427" t="s">
        <v>4076</v>
      </c>
      <c r="F427" t="s">
        <v>4077</v>
      </c>
      <c r="G427" t="s">
        <v>30</v>
      </c>
      <c r="H427" t="s">
        <v>4078</v>
      </c>
      <c r="I427" t="s">
        <v>2499</v>
      </c>
      <c r="J427" t="s">
        <v>4079</v>
      </c>
      <c r="K427" t="s">
        <v>304</v>
      </c>
      <c r="L427" s="1">
        <v>46119</v>
      </c>
      <c r="M427" t="s">
        <v>1930</v>
      </c>
      <c r="N427">
        <v>68965</v>
      </c>
      <c r="O427" t="s">
        <v>54</v>
      </c>
      <c r="P427" t="s">
        <v>228</v>
      </c>
      <c r="Q427">
        <v>52</v>
      </c>
      <c r="R427" t="s">
        <v>304</v>
      </c>
      <c r="S427" t="s">
        <v>4080</v>
      </c>
      <c r="T427">
        <v>82</v>
      </c>
      <c r="U427" t="s">
        <v>4081</v>
      </c>
      <c r="V427" t="s">
        <v>228</v>
      </c>
      <c r="W427" t="s">
        <v>1148</v>
      </c>
      <c r="X427" t="s">
        <v>4082</v>
      </c>
      <c r="Y427" t="s">
        <v>4083</v>
      </c>
      <c r="Z427" t="s">
        <v>4073</v>
      </c>
    </row>
    <row r="428" spans="1:26" x14ac:dyDescent="0.2">
      <c r="A428">
        <v>424</v>
      </c>
      <c r="B428" t="s">
        <v>4084</v>
      </c>
      <c r="C428">
        <v>1976</v>
      </c>
      <c r="D428" t="s">
        <v>1731</v>
      </c>
      <c r="E428" t="s">
        <v>4076</v>
      </c>
      <c r="F428" t="s">
        <v>4085</v>
      </c>
      <c r="G428" t="s">
        <v>30</v>
      </c>
      <c r="H428" t="s">
        <v>4086</v>
      </c>
      <c r="I428" t="s">
        <v>4087</v>
      </c>
      <c r="J428" t="s">
        <v>167</v>
      </c>
      <c r="K428" t="s">
        <v>228</v>
      </c>
      <c r="L428" s="1">
        <v>46119</v>
      </c>
      <c r="M428" t="s">
        <v>1930</v>
      </c>
      <c r="N428">
        <v>216883</v>
      </c>
      <c r="O428" t="s">
        <v>54</v>
      </c>
      <c r="P428" t="s">
        <v>271</v>
      </c>
      <c r="Q428">
        <v>72</v>
      </c>
      <c r="R428" t="s">
        <v>1241</v>
      </c>
      <c r="S428" t="s">
        <v>4088</v>
      </c>
      <c r="T428">
        <v>78</v>
      </c>
      <c r="U428" t="s">
        <v>4089</v>
      </c>
      <c r="V428" t="s">
        <v>54</v>
      </c>
      <c r="W428" t="s">
        <v>75</v>
      </c>
      <c r="X428" t="s">
        <v>4090</v>
      </c>
      <c r="Y428" t="s">
        <v>4091</v>
      </c>
      <c r="Z428" t="s">
        <v>4073</v>
      </c>
    </row>
    <row r="429" spans="1:26" x14ac:dyDescent="0.2">
      <c r="A429">
        <v>425</v>
      </c>
      <c r="B429" t="s">
        <v>4092</v>
      </c>
      <c r="C429">
        <v>2011</v>
      </c>
      <c r="D429" t="s">
        <v>764</v>
      </c>
      <c r="E429" t="s">
        <v>4093</v>
      </c>
      <c r="F429" t="s">
        <v>4094</v>
      </c>
      <c r="G429" t="s">
        <v>30</v>
      </c>
      <c r="H429" t="s">
        <v>4095</v>
      </c>
      <c r="I429" t="s">
        <v>4096</v>
      </c>
      <c r="J429" t="s">
        <v>4097</v>
      </c>
      <c r="K429" t="s">
        <v>228</v>
      </c>
      <c r="L429" s="1">
        <v>46241</v>
      </c>
      <c r="M429" t="s">
        <v>757</v>
      </c>
      <c r="N429">
        <v>732276</v>
      </c>
      <c r="O429" t="s">
        <v>484</v>
      </c>
      <c r="P429" t="s">
        <v>250</v>
      </c>
      <c r="Q429">
        <v>258</v>
      </c>
      <c r="R429" t="s">
        <v>757</v>
      </c>
      <c r="S429" t="s">
        <v>4098</v>
      </c>
      <c r="T429">
        <v>78</v>
      </c>
      <c r="U429" t="s">
        <v>4099</v>
      </c>
      <c r="V429" t="s">
        <v>97</v>
      </c>
      <c r="W429" t="s">
        <v>75</v>
      </c>
      <c r="X429" t="s">
        <v>4100</v>
      </c>
      <c r="Y429" t="s">
        <v>4101</v>
      </c>
      <c r="Z429" t="s">
        <v>4073</v>
      </c>
    </row>
    <row r="430" spans="1:26" x14ac:dyDescent="0.2">
      <c r="A430">
        <v>426</v>
      </c>
      <c r="B430" t="s">
        <v>4102</v>
      </c>
      <c r="C430">
        <v>2018</v>
      </c>
      <c r="D430" t="s">
        <v>1304</v>
      </c>
      <c r="E430" t="s">
        <v>2212</v>
      </c>
      <c r="F430" t="s">
        <v>4103</v>
      </c>
      <c r="G430" t="s">
        <v>30</v>
      </c>
      <c r="H430" t="s">
        <v>4104</v>
      </c>
      <c r="K430" t="s">
        <v>228</v>
      </c>
      <c r="L430" s="1">
        <v>46088</v>
      </c>
      <c r="M430" t="s">
        <v>2978</v>
      </c>
      <c r="N430">
        <v>868835</v>
      </c>
      <c r="O430" t="s">
        <v>157</v>
      </c>
      <c r="P430" t="s">
        <v>271</v>
      </c>
      <c r="Q430">
        <v>302</v>
      </c>
      <c r="R430" t="s">
        <v>1225</v>
      </c>
      <c r="S430" t="s">
        <v>4105</v>
      </c>
      <c r="T430">
        <v>74</v>
      </c>
      <c r="U430" t="s">
        <v>4106</v>
      </c>
      <c r="V430" t="s">
        <v>157</v>
      </c>
      <c r="W430" t="s">
        <v>444</v>
      </c>
      <c r="X430" t="s">
        <v>4107</v>
      </c>
      <c r="Y430" t="s">
        <v>4108</v>
      </c>
      <c r="Z430" t="s">
        <v>4073</v>
      </c>
    </row>
    <row r="431" spans="1:26" x14ac:dyDescent="0.2">
      <c r="A431">
        <v>427</v>
      </c>
      <c r="B431" t="s">
        <v>4109</v>
      </c>
      <c r="C431">
        <v>1994</v>
      </c>
      <c r="D431" t="s">
        <v>4110</v>
      </c>
      <c r="E431" t="s">
        <v>349</v>
      </c>
      <c r="F431" t="s">
        <v>4111</v>
      </c>
      <c r="G431" t="s">
        <v>30</v>
      </c>
      <c r="H431" t="s">
        <v>4112</v>
      </c>
      <c r="I431" t="s">
        <v>4113</v>
      </c>
      <c r="J431" t="s">
        <v>118</v>
      </c>
      <c r="K431" t="s">
        <v>228</v>
      </c>
      <c r="L431" s="1">
        <v>46060</v>
      </c>
      <c r="M431" t="s">
        <v>1551</v>
      </c>
      <c r="N431">
        <v>68993</v>
      </c>
      <c r="O431" t="s">
        <v>54</v>
      </c>
      <c r="P431" t="s">
        <v>204</v>
      </c>
      <c r="Q431">
        <v>61</v>
      </c>
      <c r="R431" t="s">
        <v>484</v>
      </c>
      <c r="S431" t="s">
        <v>4114</v>
      </c>
      <c r="T431">
        <v>76</v>
      </c>
      <c r="U431" t="s">
        <v>4115</v>
      </c>
      <c r="V431" t="s">
        <v>157</v>
      </c>
      <c r="X431" t="s">
        <v>4116</v>
      </c>
      <c r="Y431" t="s">
        <v>4117</v>
      </c>
      <c r="Z431" t="s">
        <v>4073</v>
      </c>
    </row>
    <row r="432" spans="1:26" x14ac:dyDescent="0.2">
      <c r="A432">
        <v>428</v>
      </c>
      <c r="B432" t="s">
        <v>4118</v>
      </c>
      <c r="C432">
        <v>2017</v>
      </c>
      <c r="D432" t="s">
        <v>2316</v>
      </c>
      <c r="E432" t="s">
        <v>1345</v>
      </c>
      <c r="F432" t="s">
        <v>4119</v>
      </c>
      <c r="G432" t="s">
        <v>30</v>
      </c>
      <c r="H432" t="s">
        <v>4120</v>
      </c>
      <c r="K432" t="s">
        <v>228</v>
      </c>
      <c r="L432" t="s">
        <v>564</v>
      </c>
      <c r="M432" t="s">
        <v>304</v>
      </c>
      <c r="N432">
        <v>708433</v>
      </c>
      <c r="O432" t="s">
        <v>228</v>
      </c>
      <c r="P432" t="s">
        <v>204</v>
      </c>
      <c r="Q432">
        <v>293</v>
      </c>
      <c r="R432" t="s">
        <v>484</v>
      </c>
      <c r="S432" t="s">
        <v>4121</v>
      </c>
      <c r="T432">
        <v>82</v>
      </c>
      <c r="U432" t="s">
        <v>4122</v>
      </c>
      <c r="V432" t="s">
        <v>484</v>
      </c>
      <c r="W432" t="s">
        <v>1465</v>
      </c>
      <c r="X432" t="s">
        <v>4123</v>
      </c>
      <c r="Y432" t="s">
        <v>4124</v>
      </c>
      <c r="Z432" t="s">
        <v>4073</v>
      </c>
    </row>
    <row r="433" spans="1:26" x14ac:dyDescent="0.2">
      <c r="A433">
        <v>429</v>
      </c>
      <c r="B433" t="s">
        <v>4125</v>
      </c>
      <c r="C433">
        <v>2023</v>
      </c>
      <c r="D433" t="s">
        <v>992</v>
      </c>
      <c r="E433" t="s">
        <v>4126</v>
      </c>
      <c r="F433" t="s">
        <v>4127</v>
      </c>
      <c r="G433" t="s">
        <v>30</v>
      </c>
      <c r="H433" t="s">
        <v>4128</v>
      </c>
      <c r="K433" t="s">
        <v>228</v>
      </c>
      <c r="L433" s="1">
        <v>46149</v>
      </c>
      <c r="M433" t="s">
        <v>1270</v>
      </c>
      <c r="N433">
        <v>109395</v>
      </c>
      <c r="O433" t="s">
        <v>228</v>
      </c>
      <c r="P433" t="s">
        <v>250</v>
      </c>
      <c r="Q433">
        <v>157</v>
      </c>
      <c r="S433" t="s">
        <v>4129</v>
      </c>
      <c r="T433">
        <v>74</v>
      </c>
      <c r="U433" t="s">
        <v>4130</v>
      </c>
      <c r="V433" t="s">
        <v>74</v>
      </c>
      <c r="W433" t="s">
        <v>2216</v>
      </c>
      <c r="X433" t="s">
        <v>4131</v>
      </c>
      <c r="Y433" t="s">
        <v>4132</v>
      </c>
      <c r="Z433" t="s">
        <v>4133</v>
      </c>
    </row>
    <row r="434" spans="1:26" x14ac:dyDescent="0.2">
      <c r="A434">
        <v>430</v>
      </c>
      <c r="B434" t="s">
        <v>4134</v>
      </c>
      <c r="C434">
        <v>2022</v>
      </c>
      <c r="D434" t="s">
        <v>4135</v>
      </c>
      <c r="E434" t="s">
        <v>1113</v>
      </c>
      <c r="F434" t="s">
        <v>4136</v>
      </c>
      <c r="G434" t="s">
        <v>50</v>
      </c>
      <c r="H434" t="s">
        <v>4137</v>
      </c>
      <c r="K434" t="s">
        <v>228</v>
      </c>
      <c r="L434" s="1">
        <v>46180</v>
      </c>
      <c r="M434" t="s">
        <v>1241</v>
      </c>
      <c r="N434">
        <v>52822</v>
      </c>
      <c r="O434" t="s">
        <v>1225</v>
      </c>
      <c r="P434" t="s">
        <v>484</v>
      </c>
      <c r="Q434">
        <v>82</v>
      </c>
      <c r="S434" t="s">
        <v>4138</v>
      </c>
      <c r="T434">
        <v>76</v>
      </c>
      <c r="U434" t="s">
        <v>4139</v>
      </c>
      <c r="V434" t="s">
        <v>38</v>
      </c>
      <c r="W434" t="s">
        <v>885</v>
      </c>
      <c r="X434" t="s">
        <v>4140</v>
      </c>
      <c r="Y434" t="s">
        <v>4141</v>
      </c>
      <c r="Z434" t="s">
        <v>4133</v>
      </c>
    </row>
    <row r="435" spans="1:26" x14ac:dyDescent="0.2">
      <c r="A435">
        <v>431</v>
      </c>
      <c r="B435" t="s">
        <v>4142</v>
      </c>
      <c r="C435">
        <v>2004</v>
      </c>
      <c r="D435" t="s">
        <v>126</v>
      </c>
      <c r="E435" t="s">
        <v>2204</v>
      </c>
      <c r="F435" t="s">
        <v>4143</v>
      </c>
      <c r="G435" t="s">
        <v>30</v>
      </c>
      <c r="H435" t="s">
        <v>4144</v>
      </c>
      <c r="I435" t="s">
        <v>4145</v>
      </c>
      <c r="J435" t="s">
        <v>2011</v>
      </c>
      <c r="K435" t="s">
        <v>228</v>
      </c>
      <c r="L435" s="1">
        <v>46149</v>
      </c>
      <c r="M435" t="s">
        <v>1270</v>
      </c>
      <c r="N435">
        <v>210213</v>
      </c>
      <c r="O435" t="s">
        <v>57</v>
      </c>
      <c r="P435" t="s">
        <v>157</v>
      </c>
      <c r="Q435">
        <v>131</v>
      </c>
      <c r="R435" t="s">
        <v>1225</v>
      </c>
      <c r="S435" t="s">
        <v>4146</v>
      </c>
      <c r="T435">
        <v>76</v>
      </c>
      <c r="U435" t="s">
        <v>4147</v>
      </c>
      <c r="V435" t="s">
        <v>2978</v>
      </c>
      <c r="W435" t="s">
        <v>4148</v>
      </c>
      <c r="X435" t="s">
        <v>4149</v>
      </c>
      <c r="Y435" t="s">
        <v>4150</v>
      </c>
      <c r="Z435" t="s">
        <v>4151</v>
      </c>
    </row>
    <row r="436" spans="1:26" x14ac:dyDescent="0.2">
      <c r="A436">
        <v>432</v>
      </c>
      <c r="B436" t="s">
        <v>4152</v>
      </c>
      <c r="C436">
        <v>2004</v>
      </c>
      <c r="D436" t="s">
        <v>1304</v>
      </c>
      <c r="E436" t="s">
        <v>4153</v>
      </c>
      <c r="F436" t="s">
        <v>4154</v>
      </c>
      <c r="G436" t="s">
        <v>30</v>
      </c>
      <c r="H436" t="s">
        <v>4155</v>
      </c>
      <c r="I436" t="s">
        <v>4156</v>
      </c>
      <c r="J436" t="s">
        <v>203</v>
      </c>
      <c r="K436" t="s">
        <v>228</v>
      </c>
      <c r="L436" s="1">
        <v>46149</v>
      </c>
      <c r="M436" t="s">
        <v>1270</v>
      </c>
      <c r="N436">
        <v>741202</v>
      </c>
      <c r="O436" t="s">
        <v>204</v>
      </c>
      <c r="P436" t="s">
        <v>204</v>
      </c>
      <c r="Q436">
        <v>177</v>
      </c>
      <c r="R436" t="s">
        <v>484</v>
      </c>
      <c r="S436" t="s">
        <v>4157</v>
      </c>
      <c r="T436">
        <v>78</v>
      </c>
      <c r="U436" t="s">
        <v>4158</v>
      </c>
      <c r="V436" t="s">
        <v>107</v>
      </c>
      <c r="W436" t="s">
        <v>444</v>
      </c>
      <c r="Y436" t="s">
        <v>4159</v>
      </c>
      <c r="Z436" t="s">
        <v>4151</v>
      </c>
    </row>
    <row r="437" spans="1:26" x14ac:dyDescent="0.2">
      <c r="A437">
        <v>433</v>
      </c>
      <c r="B437" t="s">
        <v>4160</v>
      </c>
      <c r="C437">
        <v>2018</v>
      </c>
      <c r="D437" t="s">
        <v>4161</v>
      </c>
      <c r="E437" t="s">
        <v>4162</v>
      </c>
      <c r="F437" t="s">
        <v>4163</v>
      </c>
      <c r="G437" t="s">
        <v>30</v>
      </c>
      <c r="H437" t="s">
        <v>4164</v>
      </c>
      <c r="K437" t="s">
        <v>228</v>
      </c>
      <c r="L437" s="1">
        <v>46180</v>
      </c>
      <c r="M437" t="s">
        <v>1241</v>
      </c>
      <c r="N437">
        <v>434467</v>
      </c>
      <c r="O437" t="s">
        <v>157</v>
      </c>
      <c r="P437" t="s">
        <v>204</v>
      </c>
      <c r="Q437">
        <v>310</v>
      </c>
      <c r="R437" t="s">
        <v>757</v>
      </c>
      <c r="S437" t="s">
        <v>4165</v>
      </c>
      <c r="T437">
        <v>72</v>
      </c>
      <c r="U437" t="s">
        <v>4166</v>
      </c>
      <c r="V437" t="s">
        <v>54</v>
      </c>
      <c r="W437" t="s">
        <v>75</v>
      </c>
      <c r="X437" t="s">
        <v>4167</v>
      </c>
      <c r="Y437" t="s">
        <v>4168</v>
      </c>
      <c r="Z437" t="s">
        <v>4151</v>
      </c>
    </row>
    <row r="438" spans="1:26" x14ac:dyDescent="0.2">
      <c r="A438">
        <v>434</v>
      </c>
      <c r="B438" t="s">
        <v>4169</v>
      </c>
      <c r="C438">
        <v>2009</v>
      </c>
      <c r="D438" t="s">
        <v>3760</v>
      </c>
      <c r="E438" t="s">
        <v>1655</v>
      </c>
      <c r="F438" t="s">
        <v>4170</v>
      </c>
      <c r="G438" t="s">
        <v>374</v>
      </c>
      <c r="H438" t="s">
        <v>4171</v>
      </c>
      <c r="I438" t="s">
        <v>4172</v>
      </c>
      <c r="J438" t="s">
        <v>335</v>
      </c>
      <c r="K438" t="s">
        <v>228</v>
      </c>
      <c r="L438" s="1">
        <v>46241</v>
      </c>
      <c r="M438" t="s">
        <v>757</v>
      </c>
      <c r="N438">
        <v>79534</v>
      </c>
      <c r="O438" t="s">
        <v>271</v>
      </c>
      <c r="P438" t="s">
        <v>484</v>
      </c>
      <c r="Q438">
        <v>105</v>
      </c>
      <c r="R438" t="s">
        <v>757</v>
      </c>
      <c r="S438" t="s">
        <v>4173</v>
      </c>
      <c r="T438">
        <v>84</v>
      </c>
      <c r="U438" t="s">
        <v>4174</v>
      </c>
      <c r="V438" t="s">
        <v>304</v>
      </c>
      <c r="W438" t="s">
        <v>75</v>
      </c>
      <c r="X438" t="s">
        <v>4175</v>
      </c>
      <c r="Y438" t="s">
        <v>4176</v>
      </c>
      <c r="Z438" t="s">
        <v>4151</v>
      </c>
    </row>
    <row r="439" spans="1:26" x14ac:dyDescent="0.2">
      <c r="A439">
        <v>435</v>
      </c>
      <c r="B439" t="s">
        <v>4177</v>
      </c>
      <c r="C439">
        <v>2022</v>
      </c>
      <c r="D439" t="s">
        <v>47</v>
      </c>
      <c r="E439" t="s">
        <v>4178</v>
      </c>
      <c r="F439" t="s">
        <v>4179</v>
      </c>
      <c r="G439" t="s">
        <v>30</v>
      </c>
      <c r="H439" t="s">
        <v>4180</v>
      </c>
      <c r="K439" t="s">
        <v>228</v>
      </c>
      <c r="L439" s="1">
        <v>46061</v>
      </c>
      <c r="M439" t="s">
        <v>250</v>
      </c>
      <c r="N439">
        <v>768986</v>
      </c>
      <c r="O439" t="s">
        <v>757</v>
      </c>
      <c r="P439" t="s">
        <v>228</v>
      </c>
      <c r="Q439">
        <v>279</v>
      </c>
      <c r="S439" t="s">
        <v>4181</v>
      </c>
      <c r="T439">
        <v>80</v>
      </c>
      <c r="U439" t="s">
        <v>4182</v>
      </c>
      <c r="V439" t="s">
        <v>228</v>
      </c>
      <c r="W439" t="s">
        <v>4183</v>
      </c>
      <c r="X439" t="s">
        <v>4184</v>
      </c>
      <c r="Y439" t="s">
        <v>4185</v>
      </c>
      <c r="Z439" t="s">
        <v>4186</v>
      </c>
    </row>
    <row r="440" spans="1:26" x14ac:dyDescent="0.2">
      <c r="A440">
        <v>436</v>
      </c>
      <c r="B440" t="s">
        <v>4187</v>
      </c>
      <c r="C440">
        <v>1986</v>
      </c>
      <c r="D440" t="s">
        <v>548</v>
      </c>
      <c r="E440" t="s">
        <v>4188</v>
      </c>
      <c r="F440" t="s">
        <v>4189</v>
      </c>
      <c r="G440" t="s">
        <v>30</v>
      </c>
      <c r="H440" t="s">
        <v>4190</v>
      </c>
      <c r="I440" t="s">
        <v>4191</v>
      </c>
      <c r="J440" t="s">
        <v>4192</v>
      </c>
      <c r="K440" t="s">
        <v>228</v>
      </c>
      <c r="L440" s="1">
        <v>46180</v>
      </c>
      <c r="M440" t="s">
        <v>1241</v>
      </c>
      <c r="N440">
        <v>213160</v>
      </c>
      <c r="O440" t="s">
        <v>228</v>
      </c>
      <c r="P440" t="s">
        <v>204</v>
      </c>
      <c r="Q440">
        <v>71</v>
      </c>
      <c r="R440" t="s">
        <v>304</v>
      </c>
      <c r="S440" t="s">
        <v>4193</v>
      </c>
      <c r="T440">
        <v>80</v>
      </c>
      <c r="U440" t="s">
        <v>4194</v>
      </c>
      <c r="V440" t="s">
        <v>250</v>
      </c>
      <c r="W440" t="s">
        <v>135</v>
      </c>
      <c r="X440" t="s">
        <v>4195</v>
      </c>
      <c r="Y440" t="s">
        <v>4196</v>
      </c>
      <c r="Z440" t="s">
        <v>4197</v>
      </c>
    </row>
    <row r="441" spans="1:26" x14ac:dyDescent="0.2">
      <c r="A441">
        <v>437</v>
      </c>
      <c r="B441" t="s">
        <v>4198</v>
      </c>
      <c r="C441">
        <v>2014</v>
      </c>
      <c r="D441" t="s">
        <v>3117</v>
      </c>
      <c r="E441" t="s">
        <v>2593</v>
      </c>
      <c r="F441" t="s">
        <v>4199</v>
      </c>
      <c r="G441" t="s">
        <v>30</v>
      </c>
      <c r="H441" t="s">
        <v>4200</v>
      </c>
      <c r="I441" t="s">
        <v>4201</v>
      </c>
      <c r="J441" t="s">
        <v>1462</v>
      </c>
      <c r="K441" t="s">
        <v>228</v>
      </c>
      <c r="L441" s="1">
        <v>46210</v>
      </c>
      <c r="M441" t="s">
        <v>1225</v>
      </c>
      <c r="N441">
        <v>680540</v>
      </c>
      <c r="O441" t="s">
        <v>179</v>
      </c>
      <c r="P441" t="s">
        <v>54</v>
      </c>
      <c r="Q441">
        <v>256</v>
      </c>
      <c r="R441" t="s">
        <v>1241</v>
      </c>
      <c r="S441" t="s">
        <v>4202</v>
      </c>
      <c r="T441">
        <v>80</v>
      </c>
      <c r="U441" t="s">
        <v>4203</v>
      </c>
      <c r="V441" t="s">
        <v>1241</v>
      </c>
      <c r="W441" t="s">
        <v>75</v>
      </c>
      <c r="X441" t="s">
        <v>4204</v>
      </c>
      <c r="Y441" t="s">
        <v>4205</v>
      </c>
      <c r="Z441" t="s">
        <v>4197</v>
      </c>
    </row>
    <row r="442" spans="1:26" x14ac:dyDescent="0.2">
      <c r="A442">
        <v>438</v>
      </c>
      <c r="B442" t="s">
        <v>4206</v>
      </c>
      <c r="C442">
        <v>2013</v>
      </c>
      <c r="D442" t="s">
        <v>65</v>
      </c>
      <c r="E442" t="s">
        <v>3397</v>
      </c>
      <c r="F442" t="s">
        <v>4207</v>
      </c>
      <c r="G442" t="s">
        <v>3399</v>
      </c>
      <c r="H442" t="s">
        <v>4208</v>
      </c>
      <c r="I442" t="s">
        <v>4209</v>
      </c>
      <c r="J442" t="s">
        <v>4210</v>
      </c>
      <c r="K442" t="s">
        <v>304</v>
      </c>
      <c r="L442" s="1">
        <v>46119</v>
      </c>
      <c r="M442" t="s">
        <v>1930</v>
      </c>
      <c r="N442">
        <v>61864</v>
      </c>
      <c r="O442" t="s">
        <v>74</v>
      </c>
      <c r="P442" t="s">
        <v>54</v>
      </c>
      <c r="Q442">
        <v>129</v>
      </c>
      <c r="R442" t="s">
        <v>1225</v>
      </c>
      <c r="S442" t="s">
        <v>4211</v>
      </c>
      <c r="T442">
        <v>80</v>
      </c>
      <c r="U442" t="s">
        <v>4212</v>
      </c>
      <c r="V442" t="s">
        <v>2978</v>
      </c>
      <c r="W442" t="s">
        <v>4213</v>
      </c>
      <c r="X442" t="s">
        <v>4214</v>
      </c>
      <c r="Y442" t="s">
        <v>4215</v>
      </c>
      <c r="Z442" t="s">
        <v>4216</v>
      </c>
    </row>
    <row r="443" spans="1:26" x14ac:dyDescent="0.2">
      <c r="A443">
        <v>439</v>
      </c>
      <c r="B443" t="s">
        <v>4217</v>
      </c>
      <c r="C443">
        <v>2012</v>
      </c>
      <c r="D443" t="s">
        <v>992</v>
      </c>
      <c r="E443" t="s">
        <v>1585</v>
      </c>
      <c r="F443" t="s">
        <v>4218</v>
      </c>
      <c r="G443" t="s">
        <v>30</v>
      </c>
      <c r="H443" t="s">
        <v>4219</v>
      </c>
      <c r="I443" t="s">
        <v>4220</v>
      </c>
      <c r="J443" t="s">
        <v>1260</v>
      </c>
      <c r="K443" t="s">
        <v>228</v>
      </c>
      <c r="L443" s="1">
        <v>46119</v>
      </c>
      <c r="M443" t="s">
        <v>1930</v>
      </c>
      <c r="N443">
        <v>98119</v>
      </c>
      <c r="O443" t="s">
        <v>250</v>
      </c>
      <c r="P443" t="s">
        <v>484</v>
      </c>
      <c r="Q443">
        <v>142</v>
      </c>
      <c r="R443" t="s">
        <v>1241</v>
      </c>
      <c r="S443" t="s">
        <v>4221</v>
      </c>
      <c r="T443">
        <v>80</v>
      </c>
      <c r="U443" t="s">
        <v>4222</v>
      </c>
      <c r="V443" t="s">
        <v>41</v>
      </c>
      <c r="W443" t="s">
        <v>916</v>
      </c>
      <c r="X443" t="s">
        <v>4223</v>
      </c>
      <c r="Y443" t="s">
        <v>4224</v>
      </c>
      <c r="Z443" t="s">
        <v>4216</v>
      </c>
    </row>
    <row r="444" spans="1:26" x14ac:dyDescent="0.2">
      <c r="A444">
        <v>440</v>
      </c>
      <c r="B444" t="s">
        <v>4225</v>
      </c>
      <c r="C444">
        <v>2017</v>
      </c>
      <c r="D444" t="s">
        <v>4226</v>
      </c>
      <c r="E444" t="s">
        <v>4227</v>
      </c>
      <c r="F444" t="s">
        <v>4228</v>
      </c>
      <c r="G444" t="s">
        <v>30</v>
      </c>
      <c r="H444" t="s">
        <v>4229</v>
      </c>
      <c r="K444" t="s">
        <v>304</v>
      </c>
      <c r="L444" s="1">
        <v>46088</v>
      </c>
      <c r="M444" t="s">
        <v>2978</v>
      </c>
      <c r="N444">
        <v>119568</v>
      </c>
      <c r="O444" t="s">
        <v>157</v>
      </c>
      <c r="P444" t="s">
        <v>250</v>
      </c>
      <c r="Q444">
        <v>154</v>
      </c>
      <c r="R444" t="s">
        <v>1241</v>
      </c>
      <c r="S444" t="s">
        <v>4230</v>
      </c>
      <c r="T444">
        <v>76</v>
      </c>
      <c r="U444" t="s">
        <v>4231</v>
      </c>
      <c r="V444" t="s">
        <v>107</v>
      </c>
      <c r="W444" t="s">
        <v>4232</v>
      </c>
      <c r="X444" t="s">
        <v>4233</v>
      </c>
      <c r="Y444" t="s">
        <v>4234</v>
      </c>
      <c r="Z444" t="s">
        <v>304</v>
      </c>
    </row>
    <row r="445" spans="1:26" x14ac:dyDescent="0.2">
      <c r="A445">
        <v>441</v>
      </c>
      <c r="B445" t="s">
        <v>4235</v>
      </c>
      <c r="C445">
        <v>2015</v>
      </c>
      <c r="D445" t="s">
        <v>4236</v>
      </c>
      <c r="E445" t="s">
        <v>4237</v>
      </c>
      <c r="F445" t="s">
        <v>4238</v>
      </c>
      <c r="G445" t="s">
        <v>4239</v>
      </c>
      <c r="H445" t="s">
        <v>4240</v>
      </c>
      <c r="I445" t="s">
        <v>4241</v>
      </c>
      <c r="J445" t="s">
        <v>335</v>
      </c>
      <c r="K445" t="s">
        <v>304</v>
      </c>
      <c r="L445" s="1">
        <v>46119</v>
      </c>
      <c r="M445" t="s">
        <v>1930</v>
      </c>
      <c r="N445">
        <v>53176</v>
      </c>
      <c r="O445" t="s">
        <v>74</v>
      </c>
      <c r="P445" t="s">
        <v>41</v>
      </c>
      <c r="Q445">
        <v>157</v>
      </c>
      <c r="R445" t="s">
        <v>1225</v>
      </c>
      <c r="S445" t="s">
        <v>4242</v>
      </c>
      <c r="T445">
        <v>82</v>
      </c>
      <c r="U445" t="s">
        <v>4243</v>
      </c>
      <c r="V445" t="s">
        <v>4244</v>
      </c>
      <c r="W445" t="s">
        <v>75</v>
      </c>
      <c r="X445" t="s">
        <v>4245</v>
      </c>
      <c r="Y445" t="s">
        <v>4246</v>
      </c>
      <c r="Z445" t="s">
        <v>304</v>
      </c>
    </row>
    <row r="446" spans="1:26" x14ac:dyDescent="0.2">
      <c r="A446">
        <v>442</v>
      </c>
      <c r="B446" t="s">
        <v>4247</v>
      </c>
      <c r="C446">
        <v>1931</v>
      </c>
      <c r="D446" t="s">
        <v>764</v>
      </c>
      <c r="E446" t="s">
        <v>372</v>
      </c>
      <c r="F446" t="s">
        <v>4248</v>
      </c>
      <c r="G446" t="s">
        <v>374</v>
      </c>
      <c r="H446" t="s">
        <v>4249</v>
      </c>
      <c r="I446" t="s">
        <v>4250</v>
      </c>
      <c r="J446" t="s">
        <v>4251</v>
      </c>
      <c r="K446" t="s">
        <v>179</v>
      </c>
      <c r="L446" s="1">
        <v>46089</v>
      </c>
      <c r="M446" t="s">
        <v>204</v>
      </c>
      <c r="N446">
        <v>175896</v>
      </c>
      <c r="P446" t="s">
        <v>57</v>
      </c>
      <c r="Q446">
        <v>55</v>
      </c>
      <c r="R446" t="s">
        <v>74</v>
      </c>
      <c r="S446" t="s">
        <v>4252</v>
      </c>
      <c r="T446">
        <v>86</v>
      </c>
      <c r="U446" t="s">
        <v>4253</v>
      </c>
      <c r="V446" t="s">
        <v>4254</v>
      </c>
      <c r="W446" t="s">
        <v>135</v>
      </c>
      <c r="X446" t="s">
        <v>4255</v>
      </c>
      <c r="Y446" t="s">
        <v>4256</v>
      </c>
      <c r="Z446" t="s">
        <v>304</v>
      </c>
    </row>
    <row r="447" spans="1:26" x14ac:dyDescent="0.2">
      <c r="A447">
        <v>443</v>
      </c>
      <c r="B447" t="s">
        <v>4257</v>
      </c>
      <c r="C447">
        <v>2003</v>
      </c>
      <c r="D447" t="s">
        <v>3977</v>
      </c>
      <c r="E447" t="s">
        <v>114</v>
      </c>
      <c r="F447" t="s">
        <v>4258</v>
      </c>
      <c r="G447" t="s">
        <v>30</v>
      </c>
      <c r="H447" t="s">
        <v>4259</v>
      </c>
      <c r="I447" t="s">
        <v>4260</v>
      </c>
      <c r="J447" t="s">
        <v>118</v>
      </c>
      <c r="K447" t="s">
        <v>304</v>
      </c>
      <c r="L447" s="1">
        <v>46061</v>
      </c>
      <c r="M447" t="s">
        <v>250</v>
      </c>
      <c r="N447">
        <v>1243483</v>
      </c>
      <c r="O447" t="s">
        <v>3568</v>
      </c>
      <c r="P447" t="s">
        <v>1270</v>
      </c>
      <c r="Q447">
        <v>136</v>
      </c>
      <c r="R447" t="s">
        <v>304</v>
      </c>
      <c r="S447" t="s">
        <v>4261</v>
      </c>
      <c r="T447">
        <v>84</v>
      </c>
      <c r="U447" t="s">
        <v>4262</v>
      </c>
      <c r="V447" t="s">
        <v>41</v>
      </c>
      <c r="W447" t="s">
        <v>75</v>
      </c>
      <c r="X447" t="s">
        <v>4263</v>
      </c>
      <c r="Y447" t="s">
        <v>4264</v>
      </c>
      <c r="Z447" t="s">
        <v>304</v>
      </c>
    </row>
    <row r="448" spans="1:26" x14ac:dyDescent="0.2">
      <c r="A448">
        <v>444</v>
      </c>
      <c r="B448" t="s">
        <v>4265</v>
      </c>
      <c r="C448">
        <v>1942</v>
      </c>
      <c r="D448" t="s">
        <v>4266</v>
      </c>
      <c r="E448" t="s">
        <v>4267</v>
      </c>
      <c r="F448" t="s">
        <v>4268</v>
      </c>
      <c r="G448" t="s">
        <v>30</v>
      </c>
      <c r="H448" t="s">
        <v>4269</v>
      </c>
      <c r="I448" t="s">
        <v>796</v>
      </c>
      <c r="J448" t="s">
        <v>2189</v>
      </c>
      <c r="K448" t="s">
        <v>228</v>
      </c>
      <c r="L448" s="1">
        <v>46060</v>
      </c>
      <c r="M448" t="s">
        <v>1551</v>
      </c>
      <c r="N448">
        <v>27231</v>
      </c>
      <c r="O448" t="s">
        <v>107</v>
      </c>
      <c r="P448" t="s">
        <v>271</v>
      </c>
      <c r="Q448">
        <v>59</v>
      </c>
      <c r="R448" t="s">
        <v>1551</v>
      </c>
      <c r="S448" t="s">
        <v>4270</v>
      </c>
      <c r="T448">
        <v>74</v>
      </c>
      <c r="U448" t="s">
        <v>4271</v>
      </c>
      <c r="V448" t="s">
        <v>97</v>
      </c>
      <c r="W448" t="s">
        <v>1573</v>
      </c>
      <c r="X448" t="s">
        <v>4272</v>
      </c>
      <c r="Y448" t="s">
        <v>4273</v>
      </c>
      <c r="Z448" t="s">
        <v>4274</v>
      </c>
    </row>
    <row r="449" spans="1:26" x14ac:dyDescent="0.2">
      <c r="A449">
        <v>445</v>
      </c>
      <c r="B449" t="s">
        <v>4275</v>
      </c>
      <c r="C449">
        <v>1976</v>
      </c>
      <c r="D449" t="s">
        <v>65</v>
      </c>
      <c r="E449" t="s">
        <v>4276</v>
      </c>
      <c r="F449" t="s">
        <v>4277</v>
      </c>
      <c r="G449" t="s">
        <v>30</v>
      </c>
      <c r="H449" t="s">
        <v>4278</v>
      </c>
      <c r="I449" t="s">
        <v>4279</v>
      </c>
      <c r="J449" t="s">
        <v>167</v>
      </c>
      <c r="K449" t="s">
        <v>250</v>
      </c>
      <c r="L449" s="1">
        <v>46030</v>
      </c>
      <c r="M449" t="s">
        <v>228</v>
      </c>
      <c r="N449">
        <v>655553</v>
      </c>
      <c r="O449" t="s">
        <v>2051</v>
      </c>
      <c r="P449" t="s">
        <v>228</v>
      </c>
      <c r="Q449">
        <v>59</v>
      </c>
      <c r="R449" t="s">
        <v>2162</v>
      </c>
      <c r="S449" t="s">
        <v>4280</v>
      </c>
      <c r="T449">
        <v>82</v>
      </c>
      <c r="U449" t="s">
        <v>4281</v>
      </c>
      <c r="V449" t="s">
        <v>41</v>
      </c>
      <c r="W449" t="s">
        <v>75</v>
      </c>
      <c r="X449" t="s">
        <v>4282</v>
      </c>
      <c r="Y449" t="s">
        <v>4283</v>
      </c>
      <c r="Z449" t="s">
        <v>4284</v>
      </c>
    </row>
    <row r="450" spans="1:26" x14ac:dyDescent="0.2">
      <c r="A450">
        <v>446</v>
      </c>
      <c r="B450" t="s">
        <v>4285</v>
      </c>
      <c r="C450">
        <v>2017</v>
      </c>
      <c r="D450" t="s">
        <v>211</v>
      </c>
      <c r="E450" t="s">
        <v>342</v>
      </c>
      <c r="F450" t="s">
        <v>4286</v>
      </c>
      <c r="G450" t="s">
        <v>30</v>
      </c>
      <c r="H450" t="s">
        <v>4287</v>
      </c>
      <c r="K450" t="s">
        <v>228</v>
      </c>
      <c r="L450" s="1">
        <v>46119</v>
      </c>
      <c r="M450" t="s">
        <v>1930</v>
      </c>
      <c r="N450">
        <v>151144</v>
      </c>
      <c r="O450" t="s">
        <v>41</v>
      </c>
      <c r="P450" t="s">
        <v>54</v>
      </c>
      <c r="Q450">
        <v>235</v>
      </c>
      <c r="R450" t="s">
        <v>2162</v>
      </c>
      <c r="S450" t="s">
        <v>4288</v>
      </c>
      <c r="T450">
        <v>82</v>
      </c>
      <c r="U450" t="s">
        <v>4289</v>
      </c>
      <c r="V450" t="s">
        <v>1551</v>
      </c>
      <c r="W450" t="s">
        <v>75</v>
      </c>
      <c r="X450" t="s">
        <v>4290</v>
      </c>
      <c r="Y450" t="s">
        <v>4291</v>
      </c>
      <c r="Z450" t="s">
        <v>4284</v>
      </c>
    </row>
    <row r="451" spans="1:26" x14ac:dyDescent="0.2">
      <c r="A451">
        <v>447</v>
      </c>
      <c r="B451" t="s">
        <v>4292</v>
      </c>
      <c r="C451">
        <v>2016</v>
      </c>
      <c r="D451" t="s">
        <v>3043</v>
      </c>
      <c r="E451" t="s">
        <v>4293</v>
      </c>
      <c r="F451" t="s">
        <v>4294</v>
      </c>
      <c r="G451" t="s">
        <v>30</v>
      </c>
      <c r="H451" t="s">
        <v>4295</v>
      </c>
      <c r="K451" t="s">
        <v>228</v>
      </c>
      <c r="L451" s="1">
        <v>46088</v>
      </c>
      <c r="M451" t="s">
        <v>2978</v>
      </c>
      <c r="N451">
        <v>91854</v>
      </c>
      <c r="O451" t="s">
        <v>41</v>
      </c>
      <c r="P451" t="s">
        <v>54</v>
      </c>
      <c r="Q451">
        <v>177</v>
      </c>
      <c r="R451" t="s">
        <v>2162</v>
      </c>
      <c r="S451" t="s">
        <v>4296</v>
      </c>
      <c r="T451">
        <v>78</v>
      </c>
      <c r="U451" t="s">
        <v>4297</v>
      </c>
      <c r="V451" t="s">
        <v>1225</v>
      </c>
      <c r="W451" t="s">
        <v>2216</v>
      </c>
      <c r="X451" t="s">
        <v>4298</v>
      </c>
      <c r="Y451" t="s">
        <v>4299</v>
      </c>
      <c r="Z451" t="s">
        <v>4284</v>
      </c>
    </row>
    <row r="452" spans="1:26" x14ac:dyDescent="0.2">
      <c r="A452">
        <v>448</v>
      </c>
      <c r="B452" t="s">
        <v>4300</v>
      </c>
      <c r="C452">
        <v>1997</v>
      </c>
      <c r="D452" t="s">
        <v>211</v>
      </c>
      <c r="E452" t="s">
        <v>1032</v>
      </c>
      <c r="F452" t="s">
        <v>4301</v>
      </c>
      <c r="G452" t="s">
        <v>30</v>
      </c>
      <c r="H452" t="s">
        <v>4302</v>
      </c>
      <c r="I452" t="s">
        <v>4303</v>
      </c>
      <c r="J452" t="s">
        <v>33</v>
      </c>
      <c r="K452" t="s">
        <v>228</v>
      </c>
      <c r="L452" s="1">
        <v>46272</v>
      </c>
      <c r="M452" t="s">
        <v>484</v>
      </c>
      <c r="N452">
        <v>1331693</v>
      </c>
      <c r="O452" t="s">
        <v>1270</v>
      </c>
      <c r="P452" t="s">
        <v>304</v>
      </c>
      <c r="Q452">
        <v>147</v>
      </c>
      <c r="R452" t="s">
        <v>2162</v>
      </c>
      <c r="S452" t="s">
        <v>4304</v>
      </c>
      <c r="T452">
        <v>76</v>
      </c>
      <c r="U452" t="s">
        <v>4305</v>
      </c>
      <c r="V452" t="s">
        <v>34</v>
      </c>
      <c r="W452" t="s">
        <v>42</v>
      </c>
      <c r="X452" t="s">
        <v>4306</v>
      </c>
      <c r="Y452" t="s">
        <v>4307</v>
      </c>
      <c r="Z452" t="s">
        <v>484</v>
      </c>
    </row>
    <row r="453" spans="1:26" x14ac:dyDescent="0.2">
      <c r="A453">
        <v>449</v>
      </c>
      <c r="B453" t="s">
        <v>4308</v>
      </c>
      <c r="C453">
        <v>2019</v>
      </c>
      <c r="D453" t="s">
        <v>764</v>
      </c>
      <c r="E453" t="s">
        <v>4309</v>
      </c>
      <c r="F453" t="s">
        <v>4310</v>
      </c>
      <c r="G453" t="s">
        <v>30</v>
      </c>
      <c r="H453" t="s">
        <v>4311</v>
      </c>
      <c r="K453" t="s">
        <v>228</v>
      </c>
      <c r="L453" s="1">
        <v>46119</v>
      </c>
      <c r="M453" t="s">
        <v>1930</v>
      </c>
      <c r="N453">
        <v>333224</v>
      </c>
      <c r="O453" t="s">
        <v>34</v>
      </c>
      <c r="P453" t="s">
        <v>54</v>
      </c>
      <c r="Q453">
        <v>204</v>
      </c>
      <c r="R453" t="s">
        <v>4312</v>
      </c>
      <c r="S453" t="s">
        <v>4313</v>
      </c>
      <c r="T453">
        <v>78</v>
      </c>
      <c r="U453" t="s">
        <v>4314</v>
      </c>
      <c r="V453" t="s">
        <v>1930</v>
      </c>
      <c r="W453" t="s">
        <v>1186</v>
      </c>
      <c r="X453" t="s">
        <v>4315</v>
      </c>
      <c r="Y453" t="s">
        <v>4316</v>
      </c>
      <c r="Z453" t="s">
        <v>1225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69D8-3D18-164C-B4AB-BF2199DDFE1A}">
  <dimension ref="A3:G232"/>
  <sheetViews>
    <sheetView workbookViewId="0">
      <selection activeCell="F8" sqref="F8"/>
    </sheetView>
  </sheetViews>
  <sheetFormatPr baseColWidth="10" defaultRowHeight="16" x14ac:dyDescent="0.2"/>
  <cols>
    <col min="1" max="1" width="46.1640625" bestFit="1" customWidth="1"/>
    <col min="2" max="2" width="18" bestFit="1" customWidth="1"/>
    <col min="3" max="3" width="15.83203125" bestFit="1" customWidth="1"/>
    <col min="6" max="6" width="16" bestFit="1" customWidth="1"/>
    <col min="7" max="7" width="12.1640625" bestFit="1" customWidth="1"/>
    <col min="8" max="8" width="14.5" bestFit="1" customWidth="1"/>
    <col min="9" max="9" width="4.83203125" bestFit="1" customWidth="1"/>
    <col min="10" max="10" width="5.1640625" bestFit="1" customWidth="1"/>
    <col min="11" max="11" width="20" bestFit="1" customWidth="1"/>
    <col min="12" max="12" width="26.6640625" bestFit="1" customWidth="1"/>
    <col min="13" max="13" width="3.5" bestFit="1" customWidth="1"/>
    <col min="14" max="14" width="17.6640625" bestFit="1" customWidth="1"/>
    <col min="15" max="15" width="16.6640625" bestFit="1" customWidth="1"/>
    <col min="16" max="16" width="9.1640625" bestFit="1" customWidth="1"/>
    <col min="17" max="17" width="11.6640625" bestFit="1" customWidth="1"/>
    <col min="18" max="18" width="12.33203125" bestFit="1" customWidth="1"/>
    <col min="19" max="19" width="9.33203125" bestFit="1" customWidth="1"/>
    <col min="20" max="20" width="10.6640625" bestFit="1" customWidth="1"/>
    <col min="21" max="21" width="8.1640625" bestFit="1" customWidth="1"/>
    <col min="22" max="22" width="7.33203125" bestFit="1" customWidth="1"/>
    <col min="23" max="23" width="5.33203125" bestFit="1" customWidth="1"/>
    <col min="24" max="24" width="6.1640625" bestFit="1" customWidth="1"/>
    <col min="25" max="25" width="12" bestFit="1" customWidth="1"/>
    <col min="26" max="26" width="18.33203125" bestFit="1" customWidth="1"/>
    <col min="27" max="27" width="16.6640625" bestFit="1" customWidth="1"/>
    <col min="28" max="28" width="26.83203125" bestFit="1" customWidth="1"/>
    <col min="29" max="29" width="20.33203125" bestFit="1" customWidth="1"/>
    <col min="30" max="30" width="14" bestFit="1" customWidth="1"/>
    <col min="31" max="31" width="8.83203125" bestFit="1" customWidth="1"/>
    <col min="32" max="32" width="6.83203125" bestFit="1" customWidth="1"/>
    <col min="33" max="33" width="15.1640625" bestFit="1" customWidth="1"/>
    <col min="34" max="34" width="15" bestFit="1" customWidth="1"/>
    <col min="35" max="35" width="15.5" bestFit="1" customWidth="1"/>
    <col min="36" max="36" width="16.83203125" bestFit="1" customWidth="1"/>
    <col min="37" max="37" width="13.1640625" bestFit="1" customWidth="1"/>
    <col min="38" max="38" width="6.6640625" bestFit="1" customWidth="1"/>
    <col min="39" max="39" width="4.83203125" bestFit="1" customWidth="1"/>
    <col min="40" max="40" width="15.6640625" bestFit="1" customWidth="1"/>
    <col min="41" max="41" width="9.5" bestFit="1" customWidth="1"/>
    <col min="42" max="42" width="6" bestFit="1" customWidth="1"/>
    <col min="43" max="43" width="13.33203125" bestFit="1" customWidth="1"/>
    <col min="44" max="44" width="14.6640625" bestFit="1" customWidth="1"/>
    <col min="45" max="45" width="14.1640625" bestFit="1" customWidth="1"/>
    <col min="46" max="46" width="6.5" bestFit="1" customWidth="1"/>
    <col min="47" max="47" width="19.33203125" bestFit="1" customWidth="1"/>
    <col min="48" max="48" width="17.5" bestFit="1" customWidth="1"/>
    <col min="49" max="49" width="10.5" bestFit="1" customWidth="1"/>
    <col min="50" max="50" width="16.33203125" bestFit="1" customWidth="1"/>
    <col min="51" max="51" width="11.6640625" bestFit="1" customWidth="1"/>
    <col min="52" max="52" width="18.83203125" bestFit="1" customWidth="1"/>
    <col min="53" max="53" width="14.5" bestFit="1" customWidth="1"/>
    <col min="54" max="54" width="13.1640625" bestFit="1" customWidth="1"/>
    <col min="55" max="55" width="12.6640625" bestFit="1" customWidth="1"/>
    <col min="56" max="56" width="18.83203125" bestFit="1" customWidth="1"/>
    <col min="57" max="57" width="11.6640625" bestFit="1" customWidth="1"/>
    <col min="58" max="58" width="13.5" bestFit="1" customWidth="1"/>
    <col min="59" max="59" width="43.33203125" bestFit="1" customWidth="1"/>
    <col min="60" max="60" width="12.33203125" bestFit="1" customWidth="1"/>
    <col min="61" max="61" width="10.5" bestFit="1" customWidth="1"/>
    <col min="62" max="62" width="8.5" bestFit="1" customWidth="1"/>
    <col min="63" max="63" width="14.5" bestFit="1" customWidth="1"/>
    <col min="64" max="64" width="12.1640625" bestFit="1" customWidth="1"/>
    <col min="65" max="65" width="16.83203125" bestFit="1" customWidth="1"/>
    <col min="66" max="66" width="8.83203125" bestFit="1" customWidth="1"/>
    <col min="67" max="67" width="15.1640625" bestFit="1" customWidth="1"/>
    <col min="68" max="68" width="12.6640625" bestFit="1" customWidth="1"/>
    <col min="69" max="69" width="8.1640625" bestFit="1" customWidth="1"/>
    <col min="70" max="70" width="5.83203125" bestFit="1" customWidth="1"/>
    <col min="71" max="71" width="9.83203125" bestFit="1" customWidth="1"/>
    <col min="72" max="72" width="18" bestFit="1" customWidth="1"/>
    <col min="73" max="73" width="8.1640625" bestFit="1" customWidth="1"/>
    <col min="74" max="74" width="7.5" bestFit="1" customWidth="1"/>
    <col min="75" max="75" width="19.5" bestFit="1" customWidth="1"/>
    <col min="76" max="76" width="10.5" bestFit="1" customWidth="1"/>
    <col min="77" max="77" width="13.6640625" bestFit="1" customWidth="1"/>
    <col min="78" max="78" width="5.33203125" bestFit="1" customWidth="1"/>
    <col min="79" max="79" width="6" bestFit="1" customWidth="1"/>
    <col min="80" max="80" width="10.33203125" bestFit="1" customWidth="1"/>
    <col min="81" max="81" width="6.5" bestFit="1" customWidth="1"/>
    <col min="82" max="82" width="12.5" bestFit="1" customWidth="1"/>
    <col min="83" max="83" width="9.83203125" bestFit="1" customWidth="1"/>
    <col min="84" max="84" width="17.6640625" bestFit="1" customWidth="1"/>
    <col min="85" max="85" width="14.1640625" bestFit="1" customWidth="1"/>
    <col min="86" max="86" width="9.83203125" bestFit="1" customWidth="1"/>
    <col min="87" max="87" width="14.83203125" bestFit="1" customWidth="1"/>
    <col min="88" max="88" width="11.1640625" bestFit="1" customWidth="1"/>
    <col min="89" max="89" width="10" bestFit="1" customWidth="1"/>
    <col min="90" max="90" width="9.5" bestFit="1" customWidth="1"/>
    <col min="91" max="91" width="10.1640625" bestFit="1" customWidth="1"/>
    <col min="92" max="92" width="5.5" bestFit="1" customWidth="1"/>
    <col min="93" max="93" width="29.5" bestFit="1" customWidth="1"/>
    <col min="94" max="94" width="5" bestFit="1" customWidth="1"/>
    <col min="95" max="95" width="8.6640625" bestFit="1" customWidth="1"/>
    <col min="96" max="96" width="7.83203125" bestFit="1" customWidth="1"/>
    <col min="97" max="97" width="27.33203125" bestFit="1" customWidth="1"/>
    <col min="98" max="98" width="16.33203125" bestFit="1" customWidth="1"/>
    <col min="99" max="99" width="15.83203125" bestFit="1" customWidth="1"/>
    <col min="100" max="100" width="16.83203125" bestFit="1" customWidth="1"/>
    <col min="101" max="101" width="15.33203125" bestFit="1" customWidth="1"/>
    <col min="102" max="102" width="9" bestFit="1" customWidth="1"/>
    <col min="103" max="103" width="9.83203125" bestFit="1" customWidth="1"/>
    <col min="104" max="104" width="8.1640625" bestFit="1" customWidth="1"/>
    <col min="105" max="105" width="16" bestFit="1" customWidth="1"/>
    <col min="106" max="106" width="16.5" bestFit="1" customWidth="1"/>
    <col min="107" max="107" width="16.6640625" bestFit="1" customWidth="1"/>
    <col min="108" max="108" width="14" bestFit="1" customWidth="1"/>
    <col min="109" max="109" width="12" bestFit="1" customWidth="1"/>
    <col min="110" max="110" width="15.5" bestFit="1" customWidth="1"/>
    <col min="111" max="111" width="8.5" bestFit="1" customWidth="1"/>
    <col min="112" max="112" width="60.5" bestFit="1" customWidth="1"/>
    <col min="113" max="113" width="5.33203125" bestFit="1" customWidth="1"/>
    <col min="114" max="114" width="11.5" bestFit="1" customWidth="1"/>
    <col min="115" max="115" width="13.6640625" bestFit="1" customWidth="1"/>
    <col min="116" max="116" width="7.1640625" bestFit="1" customWidth="1"/>
    <col min="117" max="117" width="21.5" bestFit="1" customWidth="1"/>
    <col min="118" max="118" width="10.33203125" bestFit="1" customWidth="1"/>
    <col min="119" max="119" width="32.83203125" bestFit="1" customWidth="1"/>
    <col min="120" max="120" width="29.6640625" bestFit="1" customWidth="1"/>
    <col min="121" max="121" width="10.5" bestFit="1" customWidth="1"/>
    <col min="122" max="122" width="23" bestFit="1" customWidth="1"/>
    <col min="123" max="123" width="18" bestFit="1" customWidth="1"/>
    <col min="124" max="124" width="8.1640625" bestFit="1" customWidth="1"/>
    <col min="125" max="125" width="15.33203125" bestFit="1" customWidth="1"/>
    <col min="126" max="126" width="5.83203125" bestFit="1" customWidth="1"/>
    <col min="127" max="127" width="9.33203125" bestFit="1" customWidth="1"/>
    <col min="128" max="128" width="12.6640625" bestFit="1" customWidth="1"/>
    <col min="129" max="129" width="10.6640625" bestFit="1" customWidth="1"/>
    <col min="130" max="130" width="4.6640625" bestFit="1" customWidth="1"/>
    <col min="131" max="131" width="5.1640625" bestFit="1" customWidth="1"/>
    <col min="132" max="132" width="12.6640625" bestFit="1" customWidth="1"/>
    <col min="133" max="133" width="12.5" bestFit="1" customWidth="1"/>
    <col min="134" max="134" width="10.1640625" bestFit="1" customWidth="1"/>
    <col min="135" max="135" width="11.6640625" bestFit="1" customWidth="1"/>
    <col min="136" max="136" width="6.5" bestFit="1" customWidth="1"/>
    <col min="137" max="137" width="8.83203125" bestFit="1" customWidth="1"/>
    <col min="138" max="138" width="15" bestFit="1" customWidth="1"/>
    <col min="139" max="139" width="7.6640625" bestFit="1" customWidth="1"/>
    <col min="140" max="140" width="17" bestFit="1" customWidth="1"/>
    <col min="141" max="141" width="7.83203125" bestFit="1" customWidth="1"/>
    <col min="142" max="142" width="17.33203125" bestFit="1" customWidth="1"/>
    <col min="143" max="143" width="9.83203125" bestFit="1" customWidth="1"/>
    <col min="144" max="144" width="9" bestFit="1" customWidth="1"/>
    <col min="145" max="145" width="17.83203125" bestFit="1" customWidth="1"/>
    <col min="146" max="146" width="16.33203125" bestFit="1" customWidth="1"/>
    <col min="147" max="147" width="10" bestFit="1" customWidth="1"/>
    <col min="148" max="148" width="7" bestFit="1" customWidth="1"/>
    <col min="149" max="149" width="26.33203125" bestFit="1" customWidth="1"/>
    <col min="150" max="150" width="9.83203125" bestFit="1" customWidth="1"/>
    <col min="151" max="151" width="8.6640625" bestFit="1" customWidth="1"/>
    <col min="152" max="152" width="38" bestFit="1" customWidth="1"/>
    <col min="153" max="153" width="35" bestFit="1" customWidth="1"/>
    <col min="154" max="154" width="5" bestFit="1" customWidth="1"/>
    <col min="155" max="155" width="17" bestFit="1" customWidth="1"/>
    <col min="156" max="156" width="16.5" bestFit="1" customWidth="1"/>
    <col min="157" max="157" width="4" bestFit="1" customWidth="1"/>
    <col min="158" max="158" width="5" bestFit="1" customWidth="1"/>
    <col min="159" max="159" width="9.6640625" bestFit="1" customWidth="1"/>
    <col min="160" max="160" width="12.6640625" bestFit="1" customWidth="1"/>
    <col min="161" max="161" width="8.1640625" bestFit="1" customWidth="1"/>
    <col min="162" max="162" width="12.6640625" bestFit="1" customWidth="1"/>
    <col min="163" max="163" width="21" bestFit="1" customWidth="1"/>
    <col min="164" max="164" width="22.5" bestFit="1" customWidth="1"/>
    <col min="165" max="165" width="18.83203125" bestFit="1" customWidth="1"/>
    <col min="166" max="166" width="18.1640625" bestFit="1" customWidth="1"/>
    <col min="167" max="167" width="22.83203125" bestFit="1" customWidth="1"/>
    <col min="168" max="168" width="18.33203125" bestFit="1" customWidth="1"/>
    <col min="169" max="169" width="11.83203125" bestFit="1" customWidth="1"/>
    <col min="170" max="170" width="3.6640625" bestFit="1" customWidth="1"/>
    <col min="171" max="171" width="18.1640625" bestFit="1" customWidth="1"/>
    <col min="172" max="172" width="8.83203125" bestFit="1" customWidth="1"/>
    <col min="173" max="173" width="8.6640625" bestFit="1" customWidth="1"/>
    <col min="174" max="174" width="18" bestFit="1" customWidth="1"/>
    <col min="175" max="175" width="17.1640625" bestFit="1" customWidth="1"/>
    <col min="176" max="176" width="9.5" bestFit="1" customWidth="1"/>
    <col min="177" max="177" width="10.1640625" bestFit="1" customWidth="1"/>
    <col min="178" max="178" width="26.6640625" bestFit="1" customWidth="1"/>
    <col min="179" max="179" width="10.6640625" bestFit="1" customWidth="1"/>
    <col min="180" max="180" width="20" bestFit="1" customWidth="1"/>
    <col min="181" max="181" width="18" bestFit="1" customWidth="1"/>
    <col min="182" max="182" width="5.1640625" bestFit="1" customWidth="1"/>
    <col min="183" max="183" width="24.83203125" bestFit="1" customWidth="1"/>
    <col min="184" max="184" width="11.5" bestFit="1" customWidth="1"/>
    <col min="185" max="186" width="12.5" bestFit="1" customWidth="1"/>
    <col min="187" max="187" width="9.1640625" bestFit="1" customWidth="1"/>
    <col min="188" max="188" width="9.83203125" bestFit="1" customWidth="1"/>
    <col min="189" max="189" width="16.5" bestFit="1" customWidth="1"/>
    <col min="190" max="190" width="14.5" bestFit="1" customWidth="1"/>
    <col min="191" max="191" width="10.33203125" bestFit="1" customWidth="1"/>
    <col min="192" max="192" width="11.83203125" bestFit="1" customWidth="1"/>
    <col min="193" max="193" width="9.6640625" bestFit="1" customWidth="1"/>
    <col min="194" max="194" width="8.83203125" bestFit="1" customWidth="1"/>
    <col min="195" max="195" width="8.6640625" bestFit="1" customWidth="1"/>
    <col min="196" max="196" width="5.6640625" bestFit="1" customWidth="1"/>
    <col min="197" max="197" width="17.1640625" bestFit="1" customWidth="1"/>
    <col min="198" max="198" width="17.6640625" bestFit="1" customWidth="1"/>
    <col min="199" max="199" width="19.33203125" bestFit="1" customWidth="1"/>
    <col min="200" max="200" width="11.1640625" bestFit="1" customWidth="1"/>
    <col min="201" max="201" width="17.6640625" bestFit="1" customWidth="1"/>
    <col min="202" max="202" width="12.33203125" bestFit="1" customWidth="1"/>
    <col min="203" max="203" width="16.33203125" bestFit="1" customWidth="1"/>
    <col min="204" max="204" width="2.83203125" bestFit="1" customWidth="1"/>
    <col min="205" max="205" width="18.1640625" bestFit="1" customWidth="1"/>
    <col min="206" max="206" width="9.83203125" bestFit="1" customWidth="1"/>
    <col min="207" max="207" width="11.83203125" bestFit="1" customWidth="1"/>
    <col min="208" max="208" width="20" bestFit="1" customWidth="1"/>
    <col min="209" max="209" width="13.33203125" bestFit="1" customWidth="1"/>
    <col min="210" max="210" width="12.83203125" bestFit="1" customWidth="1"/>
    <col min="211" max="211" width="12.1640625" bestFit="1" customWidth="1"/>
    <col min="212" max="212" width="18.1640625" bestFit="1" customWidth="1"/>
    <col min="213" max="213" width="9.1640625" bestFit="1" customWidth="1"/>
    <col min="214" max="214" width="18.33203125" bestFit="1" customWidth="1"/>
    <col min="215" max="215" width="10" bestFit="1" customWidth="1"/>
    <col min="216" max="216" width="15.33203125" bestFit="1" customWidth="1"/>
    <col min="217" max="217" width="16.83203125" bestFit="1" customWidth="1"/>
    <col min="218" max="218" width="6.5" bestFit="1" customWidth="1"/>
    <col min="219" max="219" width="25" bestFit="1" customWidth="1"/>
    <col min="220" max="220" width="13" bestFit="1" customWidth="1"/>
    <col min="221" max="221" width="9.6640625" bestFit="1" customWidth="1"/>
    <col min="222" max="222" width="8" bestFit="1" customWidth="1"/>
    <col min="223" max="223" width="12.6640625" bestFit="1" customWidth="1"/>
    <col min="224" max="224" width="28" bestFit="1" customWidth="1"/>
    <col min="225" max="225" width="9.5" bestFit="1" customWidth="1"/>
    <col min="226" max="226" width="16.6640625" bestFit="1" customWidth="1"/>
    <col min="227" max="227" width="7.1640625" bestFit="1" customWidth="1"/>
    <col min="228" max="228" width="27" bestFit="1" customWidth="1"/>
    <col min="229" max="229" width="15" bestFit="1" customWidth="1"/>
    <col min="230" max="230" width="8.33203125" bestFit="1" customWidth="1"/>
    <col min="231" max="231" width="11.5" bestFit="1" customWidth="1"/>
    <col min="232" max="232" width="17.6640625" bestFit="1" customWidth="1"/>
    <col min="233" max="233" width="8.6640625" bestFit="1" customWidth="1"/>
    <col min="234" max="234" width="8.1640625" bestFit="1" customWidth="1"/>
    <col min="235" max="235" width="21" bestFit="1" customWidth="1"/>
    <col min="236" max="236" width="11.6640625" bestFit="1" customWidth="1"/>
    <col min="237" max="237" width="20.6640625" bestFit="1" customWidth="1"/>
    <col min="238" max="238" width="13.1640625" bestFit="1" customWidth="1"/>
    <col min="239" max="239" width="17.5" bestFit="1" customWidth="1"/>
    <col min="240" max="240" width="9.33203125" bestFit="1" customWidth="1"/>
    <col min="241" max="241" width="6.83203125" bestFit="1" customWidth="1"/>
    <col min="242" max="242" width="16.5" bestFit="1" customWidth="1"/>
    <col min="243" max="243" width="5.33203125" bestFit="1" customWidth="1"/>
    <col min="244" max="244" width="26" bestFit="1" customWidth="1"/>
    <col min="245" max="245" width="26.83203125" bestFit="1" customWidth="1"/>
    <col min="246" max="246" width="22" bestFit="1" customWidth="1"/>
    <col min="247" max="247" width="17.83203125" bestFit="1" customWidth="1"/>
    <col min="248" max="248" width="28.83203125" bestFit="1" customWidth="1"/>
    <col min="249" max="249" width="12.33203125" bestFit="1" customWidth="1"/>
    <col min="250" max="250" width="14.1640625" bestFit="1" customWidth="1"/>
    <col min="251" max="251" width="15.5" bestFit="1" customWidth="1"/>
    <col min="252" max="252" width="11.83203125" bestFit="1" customWidth="1"/>
    <col min="253" max="253" width="13" bestFit="1" customWidth="1"/>
    <col min="254" max="254" width="13.5" bestFit="1" customWidth="1"/>
    <col min="255" max="255" width="7.83203125" bestFit="1" customWidth="1"/>
    <col min="256" max="256" width="9.1640625" bestFit="1" customWidth="1"/>
    <col min="257" max="257" width="8.33203125" bestFit="1" customWidth="1"/>
    <col min="258" max="258" width="12.6640625" bestFit="1" customWidth="1"/>
    <col min="259" max="259" width="11.83203125" bestFit="1" customWidth="1"/>
    <col min="260" max="260" width="11.33203125" bestFit="1" customWidth="1"/>
    <col min="261" max="261" width="9.5" bestFit="1" customWidth="1"/>
    <col min="262" max="262" width="12.83203125" bestFit="1" customWidth="1"/>
    <col min="263" max="263" width="14.6640625" bestFit="1" customWidth="1"/>
    <col min="264" max="264" width="8.83203125" bestFit="1" customWidth="1"/>
    <col min="265" max="265" width="7.33203125" bestFit="1" customWidth="1"/>
    <col min="266" max="266" width="6" bestFit="1" customWidth="1"/>
    <col min="267" max="267" width="10.6640625" bestFit="1" customWidth="1"/>
    <col min="268" max="268" width="21.6640625" bestFit="1" customWidth="1"/>
    <col min="269" max="269" width="5.33203125" bestFit="1" customWidth="1"/>
    <col min="270" max="270" width="15.1640625" bestFit="1" customWidth="1"/>
    <col min="271" max="271" width="17" bestFit="1" customWidth="1"/>
    <col min="272" max="272" width="6.6640625" bestFit="1" customWidth="1"/>
    <col min="273" max="273" width="10.6640625" bestFit="1" customWidth="1"/>
    <col min="274" max="274" width="9.83203125" bestFit="1" customWidth="1"/>
    <col min="275" max="275" width="10.5" bestFit="1" customWidth="1"/>
    <col min="276" max="276" width="19.83203125" bestFit="1" customWidth="1"/>
    <col min="277" max="277" width="4.33203125" bestFit="1" customWidth="1"/>
    <col min="278" max="278" width="9.83203125" bestFit="1" customWidth="1"/>
    <col min="279" max="279" width="10.1640625" bestFit="1" customWidth="1"/>
    <col min="280" max="280" width="12.33203125" bestFit="1" customWidth="1"/>
    <col min="281" max="281" width="8" bestFit="1" customWidth="1"/>
    <col min="282" max="282" width="9.1640625" bestFit="1" customWidth="1"/>
    <col min="283" max="283" width="13.33203125" bestFit="1" customWidth="1"/>
    <col min="284" max="284" width="12.83203125" bestFit="1" customWidth="1"/>
    <col min="285" max="285" width="5.83203125" bestFit="1" customWidth="1"/>
    <col min="286" max="286" width="6" bestFit="1" customWidth="1"/>
    <col min="287" max="287" width="13.5" bestFit="1" customWidth="1"/>
    <col min="288" max="288" width="6" bestFit="1" customWidth="1"/>
    <col min="289" max="289" width="15.1640625" bestFit="1" customWidth="1"/>
    <col min="290" max="290" width="4.6640625" bestFit="1" customWidth="1"/>
    <col min="291" max="291" width="9.5" bestFit="1" customWidth="1"/>
    <col min="292" max="292" width="17.33203125" bestFit="1" customWidth="1"/>
    <col min="293" max="293" width="13.33203125" bestFit="1" customWidth="1"/>
    <col min="294" max="294" width="6.1640625" bestFit="1" customWidth="1"/>
    <col min="295" max="295" width="21.6640625" bestFit="1" customWidth="1"/>
    <col min="296" max="296" width="13.33203125" bestFit="1" customWidth="1"/>
    <col min="297" max="297" width="16.33203125" bestFit="1" customWidth="1"/>
    <col min="298" max="298" width="10" bestFit="1" customWidth="1"/>
    <col min="299" max="299" width="12.83203125" bestFit="1" customWidth="1"/>
    <col min="300" max="300" width="5.6640625" bestFit="1" customWidth="1"/>
    <col min="301" max="301" width="6.6640625" bestFit="1" customWidth="1"/>
    <col min="302" max="302" width="8.83203125" bestFit="1" customWidth="1"/>
    <col min="303" max="303" width="10.1640625" bestFit="1" customWidth="1"/>
    <col min="304" max="304" width="16" bestFit="1" customWidth="1"/>
    <col min="305" max="305" width="7.1640625" bestFit="1" customWidth="1"/>
    <col min="306" max="306" width="6.5" bestFit="1" customWidth="1"/>
    <col min="307" max="307" width="17.83203125" bestFit="1" customWidth="1"/>
    <col min="308" max="308" width="30" bestFit="1" customWidth="1"/>
    <col min="309" max="309" width="17.5" bestFit="1" customWidth="1"/>
    <col min="310" max="310" width="6.6640625" bestFit="1" customWidth="1"/>
    <col min="311" max="311" width="14.5" bestFit="1" customWidth="1"/>
    <col min="312" max="312" width="10.33203125" bestFit="1" customWidth="1"/>
    <col min="313" max="313" width="14" bestFit="1" customWidth="1"/>
    <col min="314" max="314" width="4.6640625" bestFit="1" customWidth="1"/>
    <col min="315" max="315" width="13.6640625" bestFit="1" customWidth="1"/>
    <col min="316" max="316" width="12.1640625" bestFit="1" customWidth="1"/>
    <col min="317" max="317" width="31.83203125" bestFit="1" customWidth="1"/>
    <col min="318" max="318" width="29.5" bestFit="1" customWidth="1"/>
    <col min="319" max="319" width="12.5" bestFit="1" customWidth="1"/>
    <col min="320" max="320" width="8.5" bestFit="1" customWidth="1"/>
    <col min="321" max="321" width="36.33203125" bestFit="1" customWidth="1"/>
    <col min="322" max="322" width="11.33203125" bestFit="1" customWidth="1"/>
    <col min="323" max="323" width="31.1640625" bestFit="1" customWidth="1"/>
    <col min="324" max="324" width="40.5" bestFit="1" customWidth="1"/>
    <col min="325" max="325" width="17.83203125" bestFit="1" customWidth="1"/>
    <col min="326" max="326" width="11.1640625" bestFit="1" customWidth="1"/>
    <col min="327" max="327" width="7.6640625" bestFit="1" customWidth="1"/>
    <col min="328" max="328" width="10" bestFit="1" customWidth="1"/>
    <col min="329" max="329" width="9.83203125" bestFit="1" customWidth="1"/>
    <col min="330" max="330" width="24.6640625" bestFit="1" customWidth="1"/>
    <col min="331" max="331" width="13.1640625" bestFit="1" customWidth="1"/>
    <col min="332" max="332" width="15" bestFit="1" customWidth="1"/>
    <col min="333" max="333" width="13.5" bestFit="1" customWidth="1"/>
    <col min="334" max="334" width="9.1640625" bestFit="1" customWidth="1"/>
    <col min="335" max="335" width="22.5" bestFit="1" customWidth="1"/>
    <col min="336" max="336" width="18.1640625" bestFit="1" customWidth="1"/>
    <col min="337" max="337" width="10.1640625" bestFit="1" customWidth="1"/>
    <col min="338" max="338" width="23.83203125" bestFit="1" customWidth="1"/>
    <col min="339" max="339" width="12.33203125" bestFit="1" customWidth="1"/>
    <col min="340" max="340" width="8.83203125" bestFit="1" customWidth="1"/>
    <col min="341" max="341" width="20.1640625" bestFit="1" customWidth="1"/>
    <col min="342" max="342" width="19.83203125" bestFit="1" customWidth="1"/>
    <col min="343" max="343" width="25.1640625" bestFit="1" customWidth="1"/>
    <col min="344" max="344" width="11.6640625" bestFit="1" customWidth="1"/>
    <col min="345" max="345" width="22.83203125" bestFit="1" customWidth="1"/>
    <col min="346" max="346" width="15.1640625" bestFit="1" customWidth="1"/>
    <col min="347" max="347" width="17" bestFit="1" customWidth="1"/>
    <col min="348" max="348" width="14.5" bestFit="1" customWidth="1"/>
    <col min="349" max="349" width="12.1640625" bestFit="1" customWidth="1"/>
    <col min="350" max="350" width="28.1640625" bestFit="1" customWidth="1"/>
    <col min="351" max="351" width="16" bestFit="1" customWidth="1"/>
    <col min="352" max="352" width="11" bestFit="1" customWidth="1"/>
    <col min="353" max="353" width="11.83203125" bestFit="1" customWidth="1"/>
    <col min="354" max="354" width="10" bestFit="1" customWidth="1"/>
    <col min="355" max="355" width="16.6640625" bestFit="1" customWidth="1"/>
    <col min="356" max="356" width="7" bestFit="1" customWidth="1"/>
    <col min="357" max="357" width="19.83203125" bestFit="1" customWidth="1"/>
    <col min="358" max="359" width="11.1640625" bestFit="1" customWidth="1"/>
    <col min="360" max="360" width="13" bestFit="1" customWidth="1"/>
    <col min="361" max="361" width="19" bestFit="1" customWidth="1"/>
    <col min="362" max="362" width="27.6640625" bestFit="1" customWidth="1"/>
    <col min="363" max="363" width="12.33203125" bestFit="1" customWidth="1"/>
    <col min="364" max="364" width="23" bestFit="1" customWidth="1"/>
    <col min="365" max="365" width="15.5" bestFit="1" customWidth="1"/>
    <col min="366" max="366" width="13" bestFit="1" customWidth="1"/>
    <col min="367" max="367" width="12.6640625" bestFit="1" customWidth="1"/>
    <col min="368" max="368" width="8.5" bestFit="1" customWidth="1"/>
    <col min="369" max="369" width="13.83203125" bestFit="1" customWidth="1"/>
    <col min="370" max="370" width="13.5" bestFit="1" customWidth="1"/>
    <col min="371" max="371" width="11.83203125" bestFit="1" customWidth="1"/>
    <col min="372" max="372" width="12.83203125" bestFit="1" customWidth="1"/>
    <col min="373" max="373" width="33.1640625" bestFit="1" customWidth="1"/>
    <col min="374" max="374" width="15.83203125" bestFit="1" customWidth="1"/>
    <col min="375" max="375" width="19.33203125" bestFit="1" customWidth="1"/>
    <col min="376" max="376" width="12" bestFit="1" customWidth="1"/>
    <col min="377" max="378" width="17" bestFit="1" customWidth="1"/>
    <col min="379" max="379" width="42.33203125" bestFit="1" customWidth="1"/>
    <col min="380" max="380" width="38.6640625" bestFit="1" customWidth="1"/>
    <col min="381" max="381" width="33.6640625" bestFit="1" customWidth="1"/>
    <col min="382" max="382" width="12.1640625" bestFit="1" customWidth="1"/>
    <col min="383" max="383" width="17.33203125" bestFit="1" customWidth="1"/>
    <col min="384" max="384" width="23.33203125" bestFit="1" customWidth="1"/>
    <col min="385" max="385" width="11.1640625" bestFit="1" customWidth="1"/>
    <col min="386" max="386" width="10" bestFit="1" customWidth="1"/>
    <col min="387" max="387" width="20.6640625" bestFit="1" customWidth="1"/>
    <col min="388" max="388" width="28.6640625" bestFit="1" customWidth="1"/>
    <col min="389" max="389" width="19.5" bestFit="1" customWidth="1"/>
    <col min="390" max="390" width="10.1640625" bestFit="1" customWidth="1"/>
    <col min="391" max="391" width="16.33203125" bestFit="1" customWidth="1"/>
    <col min="392" max="392" width="12.6640625" bestFit="1" customWidth="1"/>
    <col min="393" max="393" width="17.1640625" bestFit="1" customWidth="1"/>
    <col min="394" max="394" width="20.83203125" bestFit="1" customWidth="1"/>
    <col min="395" max="395" width="16.5" bestFit="1" customWidth="1"/>
    <col min="396" max="396" width="15.1640625" bestFit="1" customWidth="1"/>
    <col min="397" max="397" width="10.6640625" bestFit="1" customWidth="1"/>
    <col min="398" max="398" width="24.33203125" bestFit="1" customWidth="1"/>
    <col min="399" max="399" width="22" bestFit="1" customWidth="1"/>
    <col min="400" max="400" width="17.1640625" bestFit="1" customWidth="1"/>
    <col min="401" max="401" width="8.83203125" bestFit="1" customWidth="1"/>
    <col min="402" max="402" width="15.83203125" bestFit="1" customWidth="1"/>
    <col min="403" max="403" width="27.83203125" bestFit="1" customWidth="1"/>
    <col min="404" max="404" width="17.33203125" bestFit="1" customWidth="1"/>
    <col min="405" max="405" width="13.83203125" bestFit="1" customWidth="1"/>
    <col min="406" max="406" width="27.1640625" bestFit="1" customWidth="1"/>
    <col min="407" max="407" width="13" bestFit="1" customWidth="1"/>
    <col min="408" max="408" width="21.1640625" bestFit="1" customWidth="1"/>
    <col min="409" max="409" width="16" bestFit="1" customWidth="1"/>
    <col min="410" max="410" width="24.5" bestFit="1" customWidth="1"/>
    <col min="411" max="411" width="17.1640625" bestFit="1" customWidth="1"/>
    <col min="412" max="412" width="16.83203125" bestFit="1" customWidth="1"/>
    <col min="413" max="413" width="15.83203125" bestFit="1" customWidth="1"/>
    <col min="414" max="414" width="14.5" bestFit="1" customWidth="1"/>
    <col min="415" max="415" width="14" bestFit="1" customWidth="1"/>
    <col min="416" max="417" width="13.83203125" bestFit="1" customWidth="1"/>
    <col min="418" max="418" width="15.33203125" bestFit="1" customWidth="1"/>
    <col min="419" max="419" width="20.83203125" bestFit="1" customWidth="1"/>
    <col min="420" max="420" width="31" bestFit="1" customWidth="1"/>
    <col min="421" max="421" width="26.83203125" bestFit="1" customWidth="1"/>
    <col min="422" max="422" width="11.83203125" bestFit="1" customWidth="1"/>
    <col min="423" max="423" width="14.83203125" bestFit="1" customWidth="1"/>
    <col min="424" max="424" width="17.6640625" bestFit="1" customWidth="1"/>
    <col min="425" max="425" width="13.33203125" bestFit="1" customWidth="1"/>
    <col min="426" max="426" width="36" bestFit="1" customWidth="1"/>
    <col min="427" max="427" width="6.6640625" bestFit="1" customWidth="1"/>
    <col min="428" max="428" width="18.33203125" bestFit="1" customWidth="1"/>
    <col min="429" max="429" width="16.5" bestFit="1" customWidth="1"/>
    <col min="430" max="430" width="11.5" bestFit="1" customWidth="1"/>
    <col min="431" max="431" width="8.6640625" bestFit="1" customWidth="1"/>
    <col min="432" max="433" width="10.1640625" bestFit="1" customWidth="1"/>
    <col min="434" max="434" width="12" bestFit="1" customWidth="1"/>
    <col min="435" max="435" width="11.33203125" bestFit="1" customWidth="1"/>
    <col min="436" max="436" width="10.1640625" bestFit="1" customWidth="1"/>
    <col min="437" max="437" width="3.5" bestFit="1" customWidth="1"/>
    <col min="438" max="438" width="7.1640625" bestFit="1" customWidth="1"/>
    <col min="439" max="439" width="6.33203125" bestFit="1" customWidth="1"/>
    <col min="440" max="440" width="7.33203125" bestFit="1" customWidth="1"/>
    <col min="441" max="441" width="15.83203125" bestFit="1" customWidth="1"/>
    <col min="442" max="442" width="14.1640625" bestFit="1" customWidth="1"/>
    <col min="443" max="443" width="25" bestFit="1" customWidth="1"/>
    <col min="444" max="444" width="8.83203125" bestFit="1" customWidth="1"/>
    <col min="445" max="445" width="23.33203125" bestFit="1" customWidth="1"/>
    <col min="446" max="446" width="9.83203125" bestFit="1" customWidth="1"/>
    <col min="447" max="447" width="11.83203125" bestFit="1" customWidth="1"/>
    <col min="448" max="448" width="11.5" bestFit="1" customWidth="1"/>
    <col min="449" max="449" width="24.6640625" bestFit="1" customWidth="1"/>
    <col min="450" max="450" width="18" bestFit="1" customWidth="1"/>
    <col min="451" max="451" width="4.6640625" bestFit="1" customWidth="1"/>
    <col min="452" max="452" width="17.33203125" bestFit="1" customWidth="1"/>
    <col min="453" max="453" width="10.33203125" bestFit="1" customWidth="1"/>
    <col min="454" max="454" width="14.1640625" bestFit="1" customWidth="1"/>
  </cols>
  <sheetData>
    <row r="3" spans="1:7" x14ac:dyDescent="0.2">
      <c r="A3" s="37" t="s">
        <v>4378</v>
      </c>
      <c r="B3" t="s">
        <v>4380</v>
      </c>
      <c r="C3" t="s">
        <v>4381</v>
      </c>
      <c r="F3" s="37" t="s">
        <v>4378</v>
      </c>
      <c r="G3" t="s">
        <v>4382</v>
      </c>
    </row>
    <row r="4" spans="1:7" x14ac:dyDescent="0.2">
      <c r="A4" s="38" t="s">
        <v>3425</v>
      </c>
      <c r="B4" s="39">
        <v>7.7</v>
      </c>
      <c r="C4" s="39">
        <v>1</v>
      </c>
      <c r="F4" s="38" t="s">
        <v>174</v>
      </c>
      <c r="G4" s="39">
        <v>8</v>
      </c>
    </row>
    <row r="5" spans="1:7" x14ac:dyDescent="0.2">
      <c r="A5" s="38" t="s">
        <v>2410</v>
      </c>
      <c r="B5" s="39">
        <v>8</v>
      </c>
      <c r="C5" s="39">
        <v>1</v>
      </c>
      <c r="F5" s="38" t="s">
        <v>81</v>
      </c>
      <c r="G5" s="39">
        <v>8</v>
      </c>
    </row>
    <row r="6" spans="1:7" x14ac:dyDescent="0.2">
      <c r="A6" s="38" t="s">
        <v>2279</v>
      </c>
      <c r="B6" s="39">
        <v>7.8</v>
      </c>
      <c r="C6" s="39">
        <v>1</v>
      </c>
      <c r="F6" s="38" t="s">
        <v>199</v>
      </c>
      <c r="G6" s="39">
        <v>7</v>
      </c>
    </row>
    <row r="7" spans="1:7" x14ac:dyDescent="0.2">
      <c r="A7" s="38" t="s">
        <v>1304</v>
      </c>
      <c r="B7" s="39">
        <v>7.6749999999999998</v>
      </c>
      <c r="C7" s="39">
        <v>4</v>
      </c>
      <c r="F7" s="38" t="s">
        <v>103</v>
      </c>
      <c r="G7" s="39">
        <v>7</v>
      </c>
    </row>
    <row r="8" spans="1:7" x14ac:dyDescent="0.2">
      <c r="A8" s="38" t="s">
        <v>3831</v>
      </c>
      <c r="B8" s="39">
        <v>7.8</v>
      </c>
      <c r="C8" s="39">
        <v>1</v>
      </c>
      <c r="F8" s="38" t="s">
        <v>141</v>
      </c>
      <c r="G8" s="39">
        <v>7</v>
      </c>
    </row>
    <row r="9" spans="1:7" x14ac:dyDescent="0.2">
      <c r="A9" s="38" t="s">
        <v>3977</v>
      </c>
      <c r="B9" s="39">
        <v>7.85</v>
      </c>
      <c r="C9" s="39">
        <v>2</v>
      </c>
      <c r="F9" s="38" t="s">
        <v>1458</v>
      </c>
      <c r="G9" s="39">
        <v>6</v>
      </c>
    </row>
    <row r="10" spans="1:7" x14ac:dyDescent="0.2">
      <c r="A10" s="38" t="s">
        <v>1674</v>
      </c>
      <c r="B10" s="39">
        <v>7.8</v>
      </c>
      <c r="C10" s="39">
        <v>3</v>
      </c>
      <c r="F10" s="38" t="s">
        <v>114</v>
      </c>
      <c r="G10" s="39">
        <v>6</v>
      </c>
    </row>
    <row r="11" spans="1:7" x14ac:dyDescent="0.2">
      <c r="A11" s="38" t="s">
        <v>47</v>
      </c>
      <c r="B11" s="39">
        <v>8.3999999999999986</v>
      </c>
      <c r="C11" s="39">
        <v>2</v>
      </c>
      <c r="F11" s="38" t="s">
        <v>4327</v>
      </c>
      <c r="G11" s="39">
        <v>5</v>
      </c>
    </row>
    <row r="12" spans="1:7" x14ac:dyDescent="0.2">
      <c r="A12" s="38" t="s">
        <v>478</v>
      </c>
      <c r="B12" s="39">
        <v>8.1999999999999993</v>
      </c>
      <c r="C12" s="39">
        <v>1</v>
      </c>
      <c r="F12" s="38" t="s">
        <v>1199</v>
      </c>
      <c r="G12" s="39">
        <v>5</v>
      </c>
    </row>
    <row r="13" spans="1:7" x14ac:dyDescent="0.2">
      <c r="A13" s="38" t="s">
        <v>3184</v>
      </c>
      <c r="B13" s="39">
        <v>8</v>
      </c>
      <c r="C13" s="39">
        <v>1</v>
      </c>
      <c r="F13" s="38" t="s">
        <v>1345</v>
      </c>
      <c r="G13" s="39">
        <v>5</v>
      </c>
    </row>
    <row r="14" spans="1:7" x14ac:dyDescent="0.2">
      <c r="A14" s="38" t="s">
        <v>3806</v>
      </c>
      <c r="B14" s="39">
        <v>7.8</v>
      </c>
      <c r="C14" s="39">
        <v>1</v>
      </c>
      <c r="F14" s="38" t="s">
        <v>4379</v>
      </c>
      <c r="G14" s="39">
        <v>64</v>
      </c>
    </row>
    <row r="15" spans="1:7" x14ac:dyDescent="0.2">
      <c r="A15" s="38" t="s">
        <v>3281</v>
      </c>
      <c r="B15" s="39">
        <v>7.8</v>
      </c>
      <c r="C15" s="39">
        <v>1</v>
      </c>
    </row>
    <row r="16" spans="1:7" x14ac:dyDescent="0.2">
      <c r="A16" s="38" t="s">
        <v>3263</v>
      </c>
      <c r="B16" s="39">
        <v>8.6999999999999993</v>
      </c>
      <c r="C16" s="39">
        <v>1</v>
      </c>
    </row>
    <row r="17" spans="1:3" x14ac:dyDescent="0.2">
      <c r="A17" s="38" t="s">
        <v>2168</v>
      </c>
      <c r="B17" s="39">
        <v>8.8000000000000007</v>
      </c>
      <c r="C17" s="39">
        <v>1</v>
      </c>
    </row>
    <row r="18" spans="1:3" x14ac:dyDescent="0.2">
      <c r="A18" s="38" t="s">
        <v>2658</v>
      </c>
      <c r="B18" s="39">
        <v>8.1999999999999993</v>
      </c>
      <c r="C18" s="39">
        <v>1</v>
      </c>
    </row>
    <row r="19" spans="1:3" x14ac:dyDescent="0.2">
      <c r="A19" s="38" t="s">
        <v>341</v>
      </c>
      <c r="B19" s="39">
        <v>8.1999999999999993</v>
      </c>
      <c r="C19" s="39">
        <v>1</v>
      </c>
    </row>
    <row r="20" spans="1:3" x14ac:dyDescent="0.2">
      <c r="A20" s="38" t="s">
        <v>2705</v>
      </c>
      <c r="B20" s="39">
        <v>7.8</v>
      </c>
      <c r="C20" s="39">
        <v>1</v>
      </c>
    </row>
    <row r="21" spans="1:3" x14ac:dyDescent="0.2">
      <c r="A21" s="38" t="s">
        <v>1031</v>
      </c>
      <c r="B21" s="39">
        <v>8.3666666666666671</v>
      </c>
      <c r="C21" s="39">
        <v>3</v>
      </c>
    </row>
    <row r="22" spans="1:3" x14ac:dyDescent="0.2">
      <c r="A22" s="38" t="s">
        <v>632</v>
      </c>
      <c r="B22" s="39">
        <v>8.4</v>
      </c>
      <c r="C22" s="39">
        <v>1</v>
      </c>
    </row>
    <row r="23" spans="1:3" x14ac:dyDescent="0.2">
      <c r="A23" s="38" t="s">
        <v>436</v>
      </c>
      <c r="B23" s="39">
        <v>8.6499999999999986</v>
      </c>
      <c r="C23" s="39">
        <v>2</v>
      </c>
    </row>
    <row r="24" spans="1:3" x14ac:dyDescent="0.2">
      <c r="A24" s="38" t="s">
        <v>2429</v>
      </c>
      <c r="B24" s="39">
        <v>7.85</v>
      </c>
      <c r="C24" s="39">
        <v>2</v>
      </c>
    </row>
    <row r="25" spans="1:3" x14ac:dyDescent="0.2">
      <c r="A25" s="38" t="s">
        <v>2935</v>
      </c>
      <c r="B25" s="39">
        <v>7.9</v>
      </c>
      <c r="C25" s="39">
        <v>1</v>
      </c>
    </row>
    <row r="26" spans="1:3" x14ac:dyDescent="0.2">
      <c r="A26" s="38" t="s">
        <v>3527</v>
      </c>
      <c r="B26" s="39">
        <v>7.8</v>
      </c>
      <c r="C26" s="39">
        <v>1</v>
      </c>
    </row>
    <row r="27" spans="1:3" x14ac:dyDescent="0.2">
      <c r="A27" s="38" t="s">
        <v>3002</v>
      </c>
      <c r="B27" s="39">
        <v>7.8</v>
      </c>
      <c r="C27" s="39">
        <v>1</v>
      </c>
    </row>
    <row r="28" spans="1:3" x14ac:dyDescent="0.2">
      <c r="A28" s="38" t="s">
        <v>2017</v>
      </c>
      <c r="B28" s="39">
        <v>7.8</v>
      </c>
      <c r="C28" s="39">
        <v>1</v>
      </c>
    </row>
    <row r="29" spans="1:3" x14ac:dyDescent="0.2">
      <c r="A29" s="38" t="s">
        <v>792</v>
      </c>
      <c r="B29" s="39">
        <v>8.1999999999999993</v>
      </c>
      <c r="C29" s="39">
        <v>1</v>
      </c>
    </row>
    <row r="30" spans="1:3" x14ac:dyDescent="0.2">
      <c r="A30" s="38" t="s">
        <v>583</v>
      </c>
      <c r="B30" s="39">
        <v>8.5</v>
      </c>
      <c r="C30" s="39">
        <v>1</v>
      </c>
    </row>
    <row r="31" spans="1:3" x14ac:dyDescent="0.2">
      <c r="A31" s="38" t="s">
        <v>3442</v>
      </c>
      <c r="B31" s="39">
        <v>7.5</v>
      </c>
      <c r="C31" s="39">
        <v>1</v>
      </c>
    </row>
    <row r="32" spans="1:3" x14ac:dyDescent="0.2">
      <c r="A32" s="38" t="s">
        <v>1325</v>
      </c>
      <c r="B32" s="39">
        <v>7.9</v>
      </c>
      <c r="C32" s="39">
        <v>1</v>
      </c>
    </row>
    <row r="33" spans="1:3" x14ac:dyDescent="0.2">
      <c r="A33" s="38" t="s">
        <v>2641</v>
      </c>
      <c r="B33" s="39">
        <v>8.6999999999999993</v>
      </c>
      <c r="C33" s="39">
        <v>1</v>
      </c>
    </row>
    <row r="34" spans="1:3" x14ac:dyDescent="0.2">
      <c r="A34" s="38" t="s">
        <v>2485</v>
      </c>
      <c r="B34" s="39">
        <v>8</v>
      </c>
      <c r="C34" s="39">
        <v>1</v>
      </c>
    </row>
    <row r="35" spans="1:3" x14ac:dyDescent="0.2">
      <c r="A35" s="38" t="s">
        <v>3290</v>
      </c>
      <c r="B35" s="39">
        <v>7.9</v>
      </c>
      <c r="C35" s="39">
        <v>1</v>
      </c>
    </row>
    <row r="36" spans="1:3" x14ac:dyDescent="0.2">
      <c r="A36" s="38" t="s">
        <v>348</v>
      </c>
      <c r="B36" s="39">
        <v>8.9</v>
      </c>
      <c r="C36" s="39">
        <v>3</v>
      </c>
    </row>
    <row r="37" spans="1:3" x14ac:dyDescent="0.2">
      <c r="A37" s="38" t="s">
        <v>1487</v>
      </c>
      <c r="B37" s="39">
        <v>8.3000000000000007</v>
      </c>
      <c r="C37" s="39">
        <v>1</v>
      </c>
    </row>
    <row r="38" spans="1:3" x14ac:dyDescent="0.2">
      <c r="A38" s="38" t="s">
        <v>1131</v>
      </c>
      <c r="B38" s="39">
        <v>8.1</v>
      </c>
      <c r="C38" s="39">
        <v>1</v>
      </c>
    </row>
    <row r="39" spans="1:3" x14ac:dyDescent="0.2">
      <c r="A39" s="38" t="s">
        <v>2184</v>
      </c>
      <c r="B39" s="39">
        <v>7.9</v>
      </c>
      <c r="C39" s="39">
        <v>1</v>
      </c>
    </row>
    <row r="40" spans="1:3" x14ac:dyDescent="0.2">
      <c r="A40" s="38" t="s">
        <v>297</v>
      </c>
      <c r="B40" s="39">
        <v>8.3000000000000007</v>
      </c>
      <c r="C40" s="39">
        <v>1</v>
      </c>
    </row>
    <row r="41" spans="1:3" x14ac:dyDescent="0.2">
      <c r="A41" s="38" t="s">
        <v>3415</v>
      </c>
      <c r="B41" s="39">
        <v>8.1999999999999993</v>
      </c>
      <c r="C41" s="39">
        <v>1</v>
      </c>
    </row>
    <row r="42" spans="1:3" x14ac:dyDescent="0.2">
      <c r="A42" s="38" t="s">
        <v>2270</v>
      </c>
      <c r="B42" s="39">
        <v>8.4</v>
      </c>
      <c r="C42" s="39">
        <v>1</v>
      </c>
    </row>
    <row r="43" spans="1:3" x14ac:dyDescent="0.2">
      <c r="A43" s="38" t="s">
        <v>910</v>
      </c>
      <c r="B43" s="39">
        <v>8.4499999999999993</v>
      </c>
      <c r="C43" s="39">
        <v>2</v>
      </c>
    </row>
    <row r="44" spans="1:3" x14ac:dyDescent="0.2">
      <c r="A44" s="38" t="s">
        <v>621</v>
      </c>
      <c r="B44" s="39">
        <v>8.3000000000000007</v>
      </c>
      <c r="C44" s="39">
        <v>1</v>
      </c>
    </row>
    <row r="45" spans="1:3" x14ac:dyDescent="0.2">
      <c r="A45" s="38" t="s">
        <v>2195</v>
      </c>
      <c r="B45" s="39">
        <v>7.4</v>
      </c>
      <c r="C45" s="39">
        <v>1</v>
      </c>
    </row>
    <row r="46" spans="1:3" x14ac:dyDescent="0.2">
      <c r="A46" s="38" t="s">
        <v>2506</v>
      </c>
      <c r="B46" s="39">
        <v>8.1</v>
      </c>
      <c r="C46" s="39">
        <v>1</v>
      </c>
    </row>
    <row r="47" spans="1:3" x14ac:dyDescent="0.2">
      <c r="A47" s="38" t="s">
        <v>1990</v>
      </c>
      <c r="B47" s="39">
        <v>7.7</v>
      </c>
      <c r="C47" s="39">
        <v>1</v>
      </c>
    </row>
    <row r="48" spans="1:3" x14ac:dyDescent="0.2">
      <c r="A48" s="38" t="s">
        <v>1863</v>
      </c>
      <c r="B48" s="39">
        <v>8</v>
      </c>
      <c r="C48" s="39">
        <v>2</v>
      </c>
    </row>
    <row r="49" spans="1:3" x14ac:dyDescent="0.2">
      <c r="A49" s="38" t="s">
        <v>1403</v>
      </c>
      <c r="B49" s="39">
        <v>8.3000000000000007</v>
      </c>
      <c r="C49" s="39">
        <v>1</v>
      </c>
    </row>
    <row r="50" spans="1:3" x14ac:dyDescent="0.2">
      <c r="A50" s="38" t="s">
        <v>742</v>
      </c>
      <c r="B50" s="39">
        <v>8.1</v>
      </c>
      <c r="C50" s="39">
        <v>1</v>
      </c>
    </row>
    <row r="51" spans="1:3" x14ac:dyDescent="0.2">
      <c r="A51" s="38" t="s">
        <v>3021</v>
      </c>
      <c r="B51" s="39">
        <v>7.9</v>
      </c>
      <c r="C51" s="39">
        <v>1</v>
      </c>
    </row>
    <row r="52" spans="1:3" x14ac:dyDescent="0.2">
      <c r="A52" s="38" t="s">
        <v>1375</v>
      </c>
      <c r="B52" s="39">
        <v>8</v>
      </c>
      <c r="C52" s="39">
        <v>1</v>
      </c>
    </row>
    <row r="53" spans="1:3" x14ac:dyDescent="0.2">
      <c r="A53" s="38" t="s">
        <v>4135</v>
      </c>
      <c r="B53" s="39">
        <v>7.6</v>
      </c>
      <c r="C53" s="39">
        <v>1</v>
      </c>
    </row>
    <row r="54" spans="1:3" x14ac:dyDescent="0.2">
      <c r="A54" s="38" t="s">
        <v>2401</v>
      </c>
      <c r="B54" s="39">
        <v>7.6</v>
      </c>
      <c r="C54" s="39">
        <v>1</v>
      </c>
    </row>
    <row r="55" spans="1:3" x14ac:dyDescent="0.2">
      <c r="A55" s="38" t="s">
        <v>1565</v>
      </c>
      <c r="B55" s="39">
        <v>8</v>
      </c>
      <c r="C55" s="39">
        <v>1</v>
      </c>
    </row>
    <row r="56" spans="1:3" x14ac:dyDescent="0.2">
      <c r="A56" s="38" t="s">
        <v>1469</v>
      </c>
      <c r="B56" s="39">
        <v>8.1999999999999993</v>
      </c>
      <c r="C56" s="39">
        <v>1</v>
      </c>
    </row>
    <row r="57" spans="1:3" x14ac:dyDescent="0.2">
      <c r="A57" s="38" t="s">
        <v>1393</v>
      </c>
      <c r="B57" s="39">
        <v>8.1</v>
      </c>
      <c r="C57" s="39">
        <v>1</v>
      </c>
    </row>
    <row r="58" spans="1:3" x14ac:dyDescent="0.2">
      <c r="A58" s="38" t="s">
        <v>864</v>
      </c>
      <c r="B58" s="39">
        <v>8</v>
      </c>
      <c r="C58" s="39">
        <v>1</v>
      </c>
    </row>
    <row r="59" spans="1:3" x14ac:dyDescent="0.2">
      <c r="A59" s="38" t="s">
        <v>2091</v>
      </c>
      <c r="B59" s="39">
        <v>8</v>
      </c>
      <c r="C59" s="39">
        <v>1</v>
      </c>
    </row>
    <row r="60" spans="1:3" x14ac:dyDescent="0.2">
      <c r="A60" s="38" t="s">
        <v>982</v>
      </c>
      <c r="B60" s="39">
        <v>8.3000000000000007</v>
      </c>
      <c r="C60" s="39">
        <v>1</v>
      </c>
    </row>
    <row r="61" spans="1:3" x14ac:dyDescent="0.2">
      <c r="A61" s="38" t="s">
        <v>2917</v>
      </c>
      <c r="B61" s="39">
        <v>8</v>
      </c>
      <c r="C61" s="39">
        <v>1</v>
      </c>
    </row>
    <row r="62" spans="1:3" x14ac:dyDescent="0.2">
      <c r="A62" s="38" t="s">
        <v>140</v>
      </c>
      <c r="B62" s="39">
        <v>7.7833333333333323</v>
      </c>
      <c r="C62" s="39">
        <v>6</v>
      </c>
    </row>
    <row r="63" spans="1:3" x14ac:dyDescent="0.2">
      <c r="A63" s="38" t="s">
        <v>538</v>
      </c>
      <c r="B63" s="39">
        <v>8.4</v>
      </c>
      <c r="C63" s="39">
        <v>1</v>
      </c>
    </row>
    <row r="64" spans="1:3" x14ac:dyDescent="0.2">
      <c r="A64" s="38" t="s">
        <v>1355</v>
      </c>
      <c r="B64" s="39">
        <v>7.9</v>
      </c>
      <c r="C64" s="39">
        <v>1</v>
      </c>
    </row>
    <row r="65" spans="1:3" x14ac:dyDescent="0.2">
      <c r="A65" s="38" t="s">
        <v>3612</v>
      </c>
      <c r="B65" s="39">
        <v>7.6</v>
      </c>
      <c r="C65" s="39">
        <v>1</v>
      </c>
    </row>
    <row r="66" spans="1:3" x14ac:dyDescent="0.2">
      <c r="A66" s="38" t="s">
        <v>3144</v>
      </c>
      <c r="B66" s="39">
        <v>7.6</v>
      </c>
      <c r="C66" s="39">
        <v>1</v>
      </c>
    </row>
    <row r="67" spans="1:3" x14ac:dyDescent="0.2">
      <c r="A67" s="38" t="s">
        <v>1112</v>
      </c>
      <c r="B67" s="39">
        <v>8.4</v>
      </c>
      <c r="C67" s="39">
        <v>1</v>
      </c>
    </row>
    <row r="68" spans="1:3" x14ac:dyDescent="0.2">
      <c r="A68" s="38" t="s">
        <v>940</v>
      </c>
      <c r="B68" s="39">
        <v>8.1999999999999993</v>
      </c>
      <c r="C68" s="39">
        <v>1</v>
      </c>
    </row>
    <row r="69" spans="1:3" x14ac:dyDescent="0.2">
      <c r="A69" s="38" t="s">
        <v>1684</v>
      </c>
      <c r="B69" s="39">
        <v>8</v>
      </c>
      <c r="C69" s="39">
        <v>2</v>
      </c>
    </row>
    <row r="70" spans="1:3" x14ac:dyDescent="0.2">
      <c r="A70" s="38" t="s">
        <v>1060</v>
      </c>
      <c r="B70" s="39">
        <v>8.1</v>
      </c>
      <c r="C70" s="39">
        <v>1</v>
      </c>
    </row>
    <row r="71" spans="1:3" x14ac:dyDescent="0.2">
      <c r="A71" s="38" t="s">
        <v>3630</v>
      </c>
      <c r="B71" s="39">
        <v>7.6</v>
      </c>
      <c r="C71" s="39">
        <v>1</v>
      </c>
    </row>
    <row r="72" spans="1:3" x14ac:dyDescent="0.2">
      <c r="A72" s="38" t="s">
        <v>2035</v>
      </c>
      <c r="B72" s="39">
        <v>8</v>
      </c>
      <c r="C72" s="39">
        <v>2</v>
      </c>
    </row>
    <row r="73" spans="1:3" x14ac:dyDescent="0.2">
      <c r="A73" s="38" t="s">
        <v>2725</v>
      </c>
      <c r="B73" s="39">
        <v>7.9</v>
      </c>
      <c r="C73" s="39">
        <v>1</v>
      </c>
    </row>
    <row r="74" spans="1:3" x14ac:dyDescent="0.2">
      <c r="A74" s="38" t="s">
        <v>992</v>
      </c>
      <c r="B74" s="39">
        <v>7.7428571428571447</v>
      </c>
      <c r="C74" s="39">
        <v>14</v>
      </c>
    </row>
    <row r="75" spans="1:3" x14ac:dyDescent="0.2">
      <c r="A75" s="38" t="s">
        <v>2790</v>
      </c>
      <c r="B75" s="39">
        <v>7.7</v>
      </c>
      <c r="C75" s="39">
        <v>1</v>
      </c>
    </row>
    <row r="76" spans="1:3" x14ac:dyDescent="0.2">
      <c r="A76" s="38" t="s">
        <v>4226</v>
      </c>
      <c r="B76" s="39">
        <v>7.3</v>
      </c>
      <c r="C76" s="39">
        <v>1</v>
      </c>
    </row>
    <row r="77" spans="1:3" x14ac:dyDescent="0.2">
      <c r="A77" s="38" t="s">
        <v>126</v>
      </c>
      <c r="B77" s="39">
        <v>8.1</v>
      </c>
      <c r="C77" s="39">
        <v>9</v>
      </c>
    </row>
    <row r="78" spans="1:3" x14ac:dyDescent="0.2">
      <c r="A78" s="38" t="s">
        <v>3742</v>
      </c>
      <c r="B78" s="39">
        <v>7.5</v>
      </c>
      <c r="C78" s="39">
        <v>1</v>
      </c>
    </row>
    <row r="79" spans="1:3" x14ac:dyDescent="0.2">
      <c r="A79" s="38" t="s">
        <v>1723</v>
      </c>
      <c r="B79" s="39">
        <v>8</v>
      </c>
      <c r="C79" s="39">
        <v>1</v>
      </c>
    </row>
    <row r="80" spans="1:3" x14ac:dyDescent="0.2">
      <c r="A80" s="38" t="s">
        <v>3771</v>
      </c>
      <c r="B80" s="39">
        <v>7.4</v>
      </c>
      <c r="C80" s="39">
        <v>1</v>
      </c>
    </row>
    <row r="81" spans="1:3" x14ac:dyDescent="0.2">
      <c r="A81" s="38" t="s">
        <v>3865</v>
      </c>
      <c r="B81" s="39">
        <v>7.6</v>
      </c>
      <c r="C81" s="39">
        <v>1</v>
      </c>
    </row>
    <row r="82" spans="1:3" x14ac:dyDescent="0.2">
      <c r="A82" s="38" t="s">
        <v>2374</v>
      </c>
      <c r="B82" s="39">
        <v>7.6</v>
      </c>
      <c r="C82" s="39">
        <v>1</v>
      </c>
    </row>
    <row r="83" spans="1:3" x14ac:dyDescent="0.2">
      <c r="A83" s="38" t="s">
        <v>1694</v>
      </c>
      <c r="B83" s="39">
        <v>7.5</v>
      </c>
      <c r="C83" s="39">
        <v>1</v>
      </c>
    </row>
    <row r="84" spans="1:3" x14ac:dyDescent="0.2">
      <c r="A84" s="38" t="s">
        <v>234</v>
      </c>
      <c r="B84" s="39">
        <v>8.0599999999999987</v>
      </c>
      <c r="C84" s="39">
        <v>5</v>
      </c>
    </row>
    <row r="85" spans="1:3" x14ac:dyDescent="0.2">
      <c r="A85" s="38" t="s">
        <v>245</v>
      </c>
      <c r="B85" s="39">
        <v>8.1999999999999993</v>
      </c>
      <c r="C85" s="39">
        <v>1</v>
      </c>
    </row>
    <row r="86" spans="1:3" x14ac:dyDescent="0.2">
      <c r="A86" s="38" t="s">
        <v>2365</v>
      </c>
      <c r="B86" s="39">
        <v>7.8</v>
      </c>
      <c r="C86" s="39">
        <v>1</v>
      </c>
    </row>
    <row r="87" spans="1:3" x14ac:dyDescent="0.2">
      <c r="A87" s="38" t="s">
        <v>152</v>
      </c>
      <c r="B87" s="39">
        <v>8.5</v>
      </c>
      <c r="C87" s="39">
        <v>1</v>
      </c>
    </row>
    <row r="88" spans="1:3" x14ac:dyDescent="0.2">
      <c r="A88" s="38" t="s">
        <v>198</v>
      </c>
      <c r="B88" s="39">
        <v>8.3000000000000007</v>
      </c>
      <c r="C88" s="39">
        <v>1</v>
      </c>
    </row>
    <row r="89" spans="1:3" x14ac:dyDescent="0.2">
      <c r="A89" s="38" t="s">
        <v>3583</v>
      </c>
      <c r="B89" s="39">
        <v>7.8</v>
      </c>
      <c r="C89" s="39">
        <v>1</v>
      </c>
    </row>
    <row r="90" spans="1:3" x14ac:dyDescent="0.2">
      <c r="A90" s="38" t="s">
        <v>3949</v>
      </c>
      <c r="B90" s="39">
        <v>7.5</v>
      </c>
      <c r="C90" s="39">
        <v>1</v>
      </c>
    </row>
    <row r="91" spans="1:3" x14ac:dyDescent="0.2">
      <c r="A91" s="38" t="s">
        <v>593</v>
      </c>
      <c r="B91" s="39">
        <v>8.0166666666666675</v>
      </c>
      <c r="C91" s="39">
        <v>6</v>
      </c>
    </row>
    <row r="92" spans="1:3" x14ac:dyDescent="0.2">
      <c r="A92" s="38" t="s">
        <v>2525</v>
      </c>
      <c r="B92" s="39">
        <v>8.3000000000000007</v>
      </c>
      <c r="C92" s="39">
        <v>1</v>
      </c>
    </row>
    <row r="93" spans="1:3" x14ac:dyDescent="0.2">
      <c r="A93" s="38" t="s">
        <v>3893</v>
      </c>
      <c r="B93" s="39">
        <v>8.1999999999999993</v>
      </c>
      <c r="C93" s="39">
        <v>1</v>
      </c>
    </row>
    <row r="94" spans="1:3" x14ac:dyDescent="0.2">
      <c r="A94" s="38" t="s">
        <v>1705</v>
      </c>
      <c r="B94" s="39">
        <v>7.8</v>
      </c>
      <c r="C94" s="39">
        <v>1</v>
      </c>
    </row>
    <row r="95" spans="1:3" x14ac:dyDescent="0.2">
      <c r="A95" s="38" t="s">
        <v>288</v>
      </c>
      <c r="B95" s="39">
        <v>7.8666666666666663</v>
      </c>
      <c r="C95" s="39">
        <v>3</v>
      </c>
    </row>
    <row r="96" spans="1:3" x14ac:dyDescent="0.2">
      <c r="A96" s="38" t="s">
        <v>774</v>
      </c>
      <c r="B96" s="39">
        <v>8.1</v>
      </c>
      <c r="C96" s="39">
        <v>1</v>
      </c>
    </row>
    <row r="97" spans="1:3" x14ac:dyDescent="0.2">
      <c r="A97" s="38" t="s">
        <v>1544</v>
      </c>
      <c r="B97" s="39">
        <v>7.85</v>
      </c>
      <c r="C97" s="39">
        <v>2</v>
      </c>
    </row>
    <row r="98" spans="1:3" x14ac:dyDescent="0.2">
      <c r="A98" s="38" t="s">
        <v>571</v>
      </c>
      <c r="B98" s="39">
        <v>8.1666666666666679</v>
      </c>
      <c r="C98" s="39">
        <v>6</v>
      </c>
    </row>
    <row r="99" spans="1:3" x14ac:dyDescent="0.2">
      <c r="A99" s="38" t="s">
        <v>3173</v>
      </c>
      <c r="B99" s="39">
        <v>8.6</v>
      </c>
      <c r="C99" s="39">
        <v>1</v>
      </c>
    </row>
    <row r="100" spans="1:3" x14ac:dyDescent="0.2">
      <c r="A100" s="38" t="s">
        <v>814</v>
      </c>
      <c r="B100" s="39">
        <v>8.1999999999999993</v>
      </c>
      <c r="C100" s="39">
        <v>1</v>
      </c>
    </row>
    <row r="101" spans="1:3" x14ac:dyDescent="0.2">
      <c r="A101" s="38" t="s">
        <v>278</v>
      </c>
      <c r="B101" s="39">
        <v>8.1666666666666661</v>
      </c>
      <c r="C101" s="39">
        <v>3</v>
      </c>
    </row>
    <row r="102" spans="1:3" x14ac:dyDescent="0.2">
      <c r="A102" s="38" t="s">
        <v>2613</v>
      </c>
      <c r="B102" s="39">
        <v>7.9</v>
      </c>
      <c r="C102" s="39">
        <v>1</v>
      </c>
    </row>
    <row r="103" spans="1:3" x14ac:dyDescent="0.2">
      <c r="A103" s="38" t="s">
        <v>602</v>
      </c>
      <c r="B103" s="39">
        <v>7.9</v>
      </c>
      <c r="C103" s="39">
        <v>1</v>
      </c>
    </row>
    <row r="104" spans="1:3" x14ac:dyDescent="0.2">
      <c r="A104" s="38" t="s">
        <v>1161</v>
      </c>
      <c r="B104" s="39">
        <v>7.9899999999999993</v>
      </c>
      <c r="C104" s="39">
        <v>10</v>
      </c>
    </row>
    <row r="105" spans="1:3" x14ac:dyDescent="0.2">
      <c r="A105" s="38" t="s">
        <v>1713</v>
      </c>
      <c r="B105" s="39">
        <v>8.1</v>
      </c>
      <c r="C105" s="39">
        <v>1</v>
      </c>
    </row>
    <row r="106" spans="1:3" x14ac:dyDescent="0.2">
      <c r="A106" s="38" t="s">
        <v>2763</v>
      </c>
      <c r="B106" s="39">
        <v>7.9</v>
      </c>
      <c r="C106" s="39">
        <v>1</v>
      </c>
    </row>
    <row r="107" spans="1:3" x14ac:dyDescent="0.2">
      <c r="A107" s="38" t="s">
        <v>3692</v>
      </c>
      <c r="B107" s="39">
        <v>7.8</v>
      </c>
      <c r="C107" s="39">
        <v>1</v>
      </c>
    </row>
    <row r="108" spans="1:3" x14ac:dyDescent="0.2">
      <c r="A108" s="38" t="s">
        <v>65</v>
      </c>
      <c r="B108" s="39">
        <v>7.9607142857142863</v>
      </c>
      <c r="C108" s="39">
        <v>56</v>
      </c>
    </row>
    <row r="109" spans="1:3" x14ac:dyDescent="0.2">
      <c r="A109" s="38" t="s">
        <v>2103</v>
      </c>
      <c r="B109" s="39">
        <v>8.1</v>
      </c>
      <c r="C109" s="39">
        <v>1</v>
      </c>
    </row>
    <row r="110" spans="1:3" x14ac:dyDescent="0.2">
      <c r="A110" s="38" t="s">
        <v>2297</v>
      </c>
      <c r="B110" s="39">
        <v>7.9</v>
      </c>
      <c r="C110" s="39">
        <v>1</v>
      </c>
    </row>
    <row r="111" spans="1:3" x14ac:dyDescent="0.2">
      <c r="A111" s="38" t="s">
        <v>3062</v>
      </c>
      <c r="B111" s="39">
        <v>7.9</v>
      </c>
      <c r="C111" s="39">
        <v>1</v>
      </c>
    </row>
    <row r="112" spans="1:3" x14ac:dyDescent="0.2">
      <c r="A112" s="38" t="s">
        <v>3484</v>
      </c>
      <c r="B112" s="39">
        <v>8</v>
      </c>
      <c r="C112" s="39">
        <v>1</v>
      </c>
    </row>
    <row r="113" spans="1:3" x14ac:dyDescent="0.2">
      <c r="A113" s="38" t="s">
        <v>2826</v>
      </c>
      <c r="B113" s="39">
        <v>7.8</v>
      </c>
      <c r="C113" s="39">
        <v>1</v>
      </c>
    </row>
    <row r="114" spans="1:3" x14ac:dyDescent="0.2">
      <c r="A114" s="38" t="s">
        <v>1363</v>
      </c>
      <c r="B114" s="39">
        <v>8</v>
      </c>
      <c r="C114" s="39">
        <v>1</v>
      </c>
    </row>
    <row r="115" spans="1:3" x14ac:dyDescent="0.2">
      <c r="A115" s="38" t="s">
        <v>3117</v>
      </c>
      <c r="B115" s="39">
        <v>7.6499999999999995</v>
      </c>
      <c r="C115" s="39">
        <v>4</v>
      </c>
    </row>
    <row r="116" spans="1:3" x14ac:dyDescent="0.2">
      <c r="A116" s="38" t="s">
        <v>3043</v>
      </c>
      <c r="B116" s="39">
        <v>7.5666666666666664</v>
      </c>
      <c r="C116" s="39">
        <v>3</v>
      </c>
    </row>
    <row r="117" spans="1:3" x14ac:dyDescent="0.2">
      <c r="A117" s="38" t="s">
        <v>27</v>
      </c>
      <c r="B117" s="39">
        <v>8.2099999999999991</v>
      </c>
      <c r="C117" s="39">
        <v>10</v>
      </c>
    </row>
    <row r="118" spans="1:3" x14ac:dyDescent="0.2">
      <c r="A118" s="38" t="s">
        <v>1011</v>
      </c>
      <c r="B118" s="39">
        <v>8.1999999999999993</v>
      </c>
      <c r="C118" s="39">
        <v>2</v>
      </c>
    </row>
    <row r="119" spans="1:3" x14ac:dyDescent="0.2">
      <c r="A119" s="38" t="s">
        <v>382</v>
      </c>
      <c r="B119" s="39">
        <v>8.6</v>
      </c>
      <c r="C119" s="39">
        <v>1</v>
      </c>
    </row>
    <row r="120" spans="1:3" x14ac:dyDescent="0.2">
      <c r="A120" s="38" t="s">
        <v>4110</v>
      </c>
      <c r="B120" s="39">
        <v>7.2</v>
      </c>
      <c r="C120" s="39">
        <v>1</v>
      </c>
    </row>
    <row r="121" spans="1:3" x14ac:dyDescent="0.2">
      <c r="A121" s="38" t="s">
        <v>2974</v>
      </c>
      <c r="B121" s="39">
        <v>7.3</v>
      </c>
      <c r="C121" s="39">
        <v>1</v>
      </c>
    </row>
    <row r="122" spans="1:3" x14ac:dyDescent="0.2">
      <c r="A122" s="38" t="s">
        <v>3231</v>
      </c>
      <c r="B122" s="39">
        <v>7.4</v>
      </c>
      <c r="C122" s="39">
        <v>1</v>
      </c>
    </row>
    <row r="123" spans="1:3" x14ac:dyDescent="0.2">
      <c r="A123" s="38" t="s">
        <v>519</v>
      </c>
      <c r="B123" s="39">
        <v>7.990909090909093</v>
      </c>
      <c r="C123" s="39">
        <v>11</v>
      </c>
    </row>
    <row r="124" spans="1:3" x14ac:dyDescent="0.2">
      <c r="A124" s="38" t="s">
        <v>3940</v>
      </c>
      <c r="B124" s="39">
        <v>7.6</v>
      </c>
      <c r="C124" s="39">
        <v>1</v>
      </c>
    </row>
    <row r="125" spans="1:3" x14ac:dyDescent="0.2">
      <c r="A125" s="38" t="s">
        <v>2583</v>
      </c>
      <c r="B125" s="39">
        <v>7.9</v>
      </c>
      <c r="C125" s="39">
        <v>1</v>
      </c>
    </row>
    <row r="126" spans="1:3" x14ac:dyDescent="0.2">
      <c r="A126" s="38" t="s">
        <v>80</v>
      </c>
      <c r="B126" s="39">
        <v>8.4000000000000021</v>
      </c>
      <c r="C126" s="39">
        <v>5</v>
      </c>
    </row>
    <row r="127" spans="1:3" x14ac:dyDescent="0.2">
      <c r="A127" s="38" t="s">
        <v>3353</v>
      </c>
      <c r="B127" s="39">
        <v>7.8</v>
      </c>
      <c r="C127" s="39">
        <v>1</v>
      </c>
    </row>
    <row r="128" spans="1:3" x14ac:dyDescent="0.2">
      <c r="A128" s="38" t="s">
        <v>2447</v>
      </c>
      <c r="B128" s="39">
        <v>7.8</v>
      </c>
      <c r="C128" s="39">
        <v>1</v>
      </c>
    </row>
    <row r="129" spans="1:3" x14ac:dyDescent="0.2">
      <c r="A129" s="38" t="s">
        <v>1276</v>
      </c>
      <c r="B129" s="39">
        <v>7.8</v>
      </c>
      <c r="C129" s="39">
        <v>2</v>
      </c>
    </row>
    <row r="130" spans="1:3" x14ac:dyDescent="0.2">
      <c r="A130" s="38" t="s">
        <v>1180</v>
      </c>
      <c r="B130" s="39">
        <v>8</v>
      </c>
      <c r="C130" s="39">
        <v>1</v>
      </c>
    </row>
    <row r="131" spans="1:3" x14ac:dyDescent="0.2">
      <c r="A131" s="38" t="s">
        <v>448</v>
      </c>
      <c r="B131" s="39">
        <v>7.8749999999999991</v>
      </c>
      <c r="C131" s="39">
        <v>4</v>
      </c>
    </row>
    <row r="132" spans="1:3" x14ac:dyDescent="0.2">
      <c r="A132" s="38" t="s">
        <v>2623</v>
      </c>
      <c r="B132" s="39">
        <v>7.6</v>
      </c>
      <c r="C132" s="39">
        <v>1</v>
      </c>
    </row>
    <row r="133" spans="1:3" x14ac:dyDescent="0.2">
      <c r="A133" s="38" t="s">
        <v>3011</v>
      </c>
      <c r="B133" s="39">
        <v>7.8</v>
      </c>
      <c r="C133" s="39">
        <v>1</v>
      </c>
    </row>
    <row r="134" spans="1:3" x14ac:dyDescent="0.2">
      <c r="A134" s="38" t="s">
        <v>3760</v>
      </c>
      <c r="B134" s="39">
        <v>7.85</v>
      </c>
      <c r="C134" s="39">
        <v>2</v>
      </c>
    </row>
    <row r="135" spans="1:3" x14ac:dyDescent="0.2">
      <c r="A135" s="38" t="s">
        <v>211</v>
      </c>
      <c r="B135" s="39">
        <v>7.9210526315789487</v>
      </c>
      <c r="C135" s="39">
        <v>19</v>
      </c>
    </row>
    <row r="136" spans="1:3" x14ac:dyDescent="0.2">
      <c r="A136" s="38" t="s">
        <v>2139</v>
      </c>
      <c r="B136" s="39">
        <v>7.8</v>
      </c>
      <c r="C136" s="39">
        <v>3</v>
      </c>
    </row>
    <row r="137" spans="1:3" x14ac:dyDescent="0.2">
      <c r="A137" s="38" t="s">
        <v>318</v>
      </c>
      <c r="B137" s="39">
        <v>7.9499999999999993</v>
      </c>
      <c r="C137" s="39">
        <v>2</v>
      </c>
    </row>
    <row r="138" spans="1:3" x14ac:dyDescent="0.2">
      <c r="A138" s="38" t="s">
        <v>653</v>
      </c>
      <c r="B138" s="39">
        <v>8.1</v>
      </c>
      <c r="C138" s="39">
        <v>1</v>
      </c>
    </row>
    <row r="139" spans="1:3" x14ac:dyDescent="0.2">
      <c r="A139" s="38" t="s">
        <v>1823</v>
      </c>
      <c r="B139" s="39">
        <v>8.1</v>
      </c>
      <c r="C139" s="39">
        <v>1</v>
      </c>
    </row>
    <row r="140" spans="1:3" x14ac:dyDescent="0.2">
      <c r="A140" s="38" t="s">
        <v>371</v>
      </c>
      <c r="B140" s="39">
        <v>8</v>
      </c>
      <c r="C140" s="39">
        <v>2</v>
      </c>
    </row>
    <row r="141" spans="1:3" x14ac:dyDescent="0.2">
      <c r="A141" s="38" t="s">
        <v>1072</v>
      </c>
      <c r="B141" s="39">
        <v>7.9</v>
      </c>
      <c r="C141" s="39">
        <v>2</v>
      </c>
    </row>
    <row r="142" spans="1:3" x14ac:dyDescent="0.2">
      <c r="A142" s="38" t="s">
        <v>643</v>
      </c>
      <c r="B142" s="39">
        <v>8.1666666666666661</v>
      </c>
      <c r="C142" s="39">
        <v>3</v>
      </c>
    </row>
    <row r="143" spans="1:3" x14ac:dyDescent="0.2">
      <c r="A143" s="38" t="s">
        <v>1141</v>
      </c>
      <c r="B143" s="39">
        <v>8.1</v>
      </c>
      <c r="C143" s="39">
        <v>1</v>
      </c>
    </row>
    <row r="144" spans="1:3" x14ac:dyDescent="0.2">
      <c r="A144" s="38" t="s">
        <v>3333</v>
      </c>
      <c r="B144" s="39">
        <v>8.1</v>
      </c>
      <c r="C144" s="39">
        <v>1</v>
      </c>
    </row>
    <row r="145" spans="1:3" x14ac:dyDescent="0.2">
      <c r="A145" s="38" t="s">
        <v>764</v>
      </c>
      <c r="B145" s="39">
        <v>8</v>
      </c>
      <c r="C145" s="39">
        <v>4</v>
      </c>
    </row>
    <row r="146" spans="1:3" x14ac:dyDescent="0.2">
      <c r="A146" s="38" t="s">
        <v>2668</v>
      </c>
      <c r="B146" s="39">
        <v>7.6</v>
      </c>
      <c r="C146" s="39">
        <v>1</v>
      </c>
    </row>
    <row r="147" spans="1:3" x14ac:dyDescent="0.2">
      <c r="A147" s="38" t="s">
        <v>2545</v>
      </c>
      <c r="B147" s="39">
        <v>7.8</v>
      </c>
      <c r="C147" s="39">
        <v>2</v>
      </c>
    </row>
    <row r="148" spans="1:3" x14ac:dyDescent="0.2">
      <c r="A148" s="38" t="s">
        <v>1980</v>
      </c>
      <c r="B148" s="39">
        <v>8.3000000000000007</v>
      </c>
      <c r="C148" s="39">
        <v>1</v>
      </c>
    </row>
    <row r="149" spans="1:3" x14ac:dyDescent="0.2">
      <c r="A149" s="38" t="s">
        <v>2241</v>
      </c>
      <c r="B149" s="39">
        <v>7.95</v>
      </c>
      <c r="C149" s="39">
        <v>2</v>
      </c>
    </row>
    <row r="150" spans="1:3" x14ac:dyDescent="0.2">
      <c r="A150" s="38" t="s">
        <v>267</v>
      </c>
      <c r="B150" s="39">
        <v>8.26</v>
      </c>
      <c r="C150" s="39">
        <v>5</v>
      </c>
    </row>
    <row r="151" spans="1:3" x14ac:dyDescent="0.2">
      <c r="A151" s="38" t="s">
        <v>1085</v>
      </c>
      <c r="B151" s="39">
        <v>8.1</v>
      </c>
      <c r="C151" s="39">
        <v>1</v>
      </c>
    </row>
    <row r="152" spans="1:3" x14ac:dyDescent="0.2">
      <c r="A152" s="38" t="s">
        <v>222</v>
      </c>
      <c r="B152" s="39">
        <v>8.1</v>
      </c>
      <c r="C152" s="39">
        <v>1</v>
      </c>
    </row>
    <row r="153" spans="1:3" x14ac:dyDescent="0.2">
      <c r="A153" s="38" t="s">
        <v>1813</v>
      </c>
      <c r="B153" s="39">
        <v>8.3000000000000007</v>
      </c>
      <c r="C153" s="39">
        <v>1</v>
      </c>
    </row>
    <row r="154" spans="1:3" x14ac:dyDescent="0.2">
      <c r="A154" s="38" t="s">
        <v>949</v>
      </c>
      <c r="B154" s="39">
        <v>8.1999999999999993</v>
      </c>
      <c r="C154" s="39">
        <v>1</v>
      </c>
    </row>
    <row r="155" spans="1:3" x14ac:dyDescent="0.2">
      <c r="A155" s="38" t="s">
        <v>1051</v>
      </c>
      <c r="B155" s="39">
        <v>8.5</v>
      </c>
      <c r="C155" s="39">
        <v>2</v>
      </c>
    </row>
    <row r="156" spans="1:3" x14ac:dyDescent="0.2">
      <c r="A156" s="38" t="s">
        <v>825</v>
      </c>
      <c r="B156" s="39">
        <v>8.5</v>
      </c>
      <c r="C156" s="39">
        <v>1</v>
      </c>
    </row>
    <row r="157" spans="1:3" x14ac:dyDescent="0.2">
      <c r="A157" s="38" t="s">
        <v>1891</v>
      </c>
      <c r="B157" s="39">
        <v>8</v>
      </c>
      <c r="C157" s="39">
        <v>1</v>
      </c>
    </row>
    <row r="158" spans="1:3" x14ac:dyDescent="0.2">
      <c r="A158" s="38" t="s">
        <v>1647</v>
      </c>
      <c r="B158" s="39">
        <v>8.4</v>
      </c>
      <c r="C158" s="39">
        <v>1</v>
      </c>
    </row>
    <row r="159" spans="1:3" x14ac:dyDescent="0.2">
      <c r="A159" s="38" t="s">
        <v>1805</v>
      </c>
      <c r="B159" s="39">
        <v>8.1</v>
      </c>
      <c r="C159" s="39">
        <v>1</v>
      </c>
    </row>
    <row r="160" spans="1:3" x14ac:dyDescent="0.2">
      <c r="A160" s="38" t="s">
        <v>2221</v>
      </c>
      <c r="B160" s="39">
        <v>8.1</v>
      </c>
      <c r="C160" s="39">
        <v>1</v>
      </c>
    </row>
    <row r="161" spans="1:3" x14ac:dyDescent="0.2">
      <c r="A161" s="38" t="s">
        <v>3554</v>
      </c>
      <c r="B161" s="39">
        <v>8.1</v>
      </c>
      <c r="C161" s="39">
        <v>1</v>
      </c>
    </row>
    <row r="162" spans="1:3" x14ac:dyDescent="0.2">
      <c r="A162" s="38" t="s">
        <v>1526</v>
      </c>
      <c r="B162" s="39">
        <v>8.1999999999999993</v>
      </c>
      <c r="C162" s="39">
        <v>1</v>
      </c>
    </row>
    <row r="163" spans="1:3" x14ac:dyDescent="0.2">
      <c r="A163" s="38" t="s">
        <v>3135</v>
      </c>
      <c r="B163" s="39">
        <v>7.7</v>
      </c>
      <c r="C163" s="39">
        <v>1</v>
      </c>
    </row>
    <row r="164" spans="1:3" x14ac:dyDescent="0.2">
      <c r="A164" s="38" t="s">
        <v>804</v>
      </c>
      <c r="B164" s="39">
        <v>7.8666666666666671</v>
      </c>
      <c r="C164" s="39">
        <v>3</v>
      </c>
    </row>
    <row r="165" spans="1:3" x14ac:dyDescent="0.2">
      <c r="A165" s="38" t="s">
        <v>681</v>
      </c>
      <c r="B165" s="39">
        <v>8.1</v>
      </c>
      <c r="C165" s="39">
        <v>1</v>
      </c>
    </row>
    <row r="166" spans="1:3" x14ac:dyDescent="0.2">
      <c r="A166" s="38" t="s">
        <v>2734</v>
      </c>
      <c r="B166" s="39">
        <v>8</v>
      </c>
      <c r="C166" s="39">
        <v>1</v>
      </c>
    </row>
    <row r="167" spans="1:3" x14ac:dyDescent="0.2">
      <c r="A167" s="38" t="s">
        <v>489</v>
      </c>
      <c r="B167" s="39">
        <v>8.1999999999999993</v>
      </c>
      <c r="C167" s="39">
        <v>1</v>
      </c>
    </row>
    <row r="168" spans="1:3" x14ac:dyDescent="0.2">
      <c r="A168" s="38" t="s">
        <v>835</v>
      </c>
      <c r="B168" s="39">
        <v>8.3000000000000007</v>
      </c>
      <c r="C168" s="39">
        <v>1</v>
      </c>
    </row>
    <row r="169" spans="1:3" x14ac:dyDescent="0.2">
      <c r="A169" s="38" t="s">
        <v>3153</v>
      </c>
      <c r="B169" s="39">
        <v>7.5</v>
      </c>
      <c r="C169" s="39">
        <v>1</v>
      </c>
    </row>
    <row r="170" spans="1:3" x14ac:dyDescent="0.2">
      <c r="A170" s="38" t="s">
        <v>716</v>
      </c>
      <c r="B170" s="39">
        <v>8.4</v>
      </c>
      <c r="C170" s="39">
        <v>1</v>
      </c>
    </row>
    <row r="171" spans="1:3" x14ac:dyDescent="0.2">
      <c r="A171" s="38" t="s">
        <v>3324</v>
      </c>
      <c r="B171" s="39">
        <v>7.62</v>
      </c>
      <c r="C171" s="39">
        <v>5</v>
      </c>
    </row>
    <row r="172" spans="1:3" x14ac:dyDescent="0.2">
      <c r="A172" s="38" t="s">
        <v>3307</v>
      </c>
      <c r="B172" s="39">
        <v>7.9</v>
      </c>
      <c r="C172" s="39">
        <v>1</v>
      </c>
    </row>
    <row r="173" spans="1:3" x14ac:dyDescent="0.2">
      <c r="A173" s="38" t="s">
        <v>3090</v>
      </c>
      <c r="B173" s="39">
        <v>7.8</v>
      </c>
      <c r="C173" s="39">
        <v>1</v>
      </c>
    </row>
    <row r="174" spans="1:3" x14ac:dyDescent="0.2">
      <c r="A174" s="38" t="s">
        <v>2964</v>
      </c>
      <c r="B174" s="39">
        <v>7.8</v>
      </c>
      <c r="C174" s="39">
        <v>1</v>
      </c>
    </row>
    <row r="175" spans="1:3" x14ac:dyDescent="0.2">
      <c r="A175" s="38" t="s">
        <v>2495</v>
      </c>
      <c r="B175" s="39">
        <v>7.5</v>
      </c>
      <c r="C175" s="39">
        <v>1</v>
      </c>
    </row>
    <row r="176" spans="1:3" x14ac:dyDescent="0.2">
      <c r="A176" s="38" t="s">
        <v>548</v>
      </c>
      <c r="B176" s="39">
        <v>8.0500000000000007</v>
      </c>
      <c r="C176" s="39">
        <v>2</v>
      </c>
    </row>
    <row r="177" spans="1:3" x14ac:dyDescent="0.2">
      <c r="A177" s="38" t="s">
        <v>1731</v>
      </c>
      <c r="B177" s="39">
        <v>7.833333333333333</v>
      </c>
      <c r="C177" s="39">
        <v>6</v>
      </c>
    </row>
    <row r="178" spans="1:3" x14ac:dyDescent="0.2">
      <c r="A178" s="38" t="s">
        <v>1872</v>
      </c>
      <c r="B178" s="39">
        <v>8.1</v>
      </c>
      <c r="C178" s="39">
        <v>1</v>
      </c>
    </row>
    <row r="179" spans="1:3" x14ac:dyDescent="0.2">
      <c r="A179" s="38" t="s">
        <v>258</v>
      </c>
      <c r="B179" s="39">
        <v>8.3000000000000007</v>
      </c>
      <c r="C179" s="39">
        <v>2</v>
      </c>
    </row>
    <row r="180" spans="1:3" x14ac:dyDescent="0.2">
      <c r="A180" s="38" t="s">
        <v>2026</v>
      </c>
      <c r="B180" s="39">
        <v>7.7</v>
      </c>
      <c r="C180" s="39">
        <v>1</v>
      </c>
    </row>
    <row r="181" spans="1:3" x14ac:dyDescent="0.2">
      <c r="A181" s="38" t="s">
        <v>2715</v>
      </c>
      <c r="B181" s="39">
        <v>8.1999999999999993</v>
      </c>
      <c r="C181" s="39">
        <v>1</v>
      </c>
    </row>
    <row r="182" spans="1:3" x14ac:dyDescent="0.2">
      <c r="A182" s="38" t="s">
        <v>4161</v>
      </c>
      <c r="B182" s="39">
        <v>7.6</v>
      </c>
      <c r="C182" s="39">
        <v>1</v>
      </c>
    </row>
    <row r="183" spans="1:3" x14ac:dyDescent="0.2">
      <c r="A183" s="38" t="s">
        <v>1602</v>
      </c>
      <c r="B183" s="39">
        <v>7.9</v>
      </c>
      <c r="C183" s="39">
        <v>2</v>
      </c>
    </row>
    <row r="184" spans="1:3" x14ac:dyDescent="0.2">
      <c r="A184" s="38" t="s">
        <v>360</v>
      </c>
      <c r="B184" s="39">
        <v>8.3000000000000007</v>
      </c>
      <c r="C184" s="39">
        <v>1</v>
      </c>
    </row>
    <row r="185" spans="1:3" x14ac:dyDescent="0.2">
      <c r="A185" s="38" t="s">
        <v>3875</v>
      </c>
      <c r="B185" s="39">
        <v>7.4</v>
      </c>
      <c r="C185" s="39">
        <v>1</v>
      </c>
    </row>
    <row r="186" spans="1:3" x14ac:dyDescent="0.2">
      <c r="A186" s="38" t="s">
        <v>4266</v>
      </c>
      <c r="B186" s="39">
        <v>7.2</v>
      </c>
      <c r="C186" s="39">
        <v>1</v>
      </c>
    </row>
    <row r="187" spans="1:3" x14ac:dyDescent="0.2">
      <c r="A187" s="38" t="s">
        <v>458</v>
      </c>
      <c r="B187" s="39">
        <v>8.3000000000000007</v>
      </c>
      <c r="C187" s="39">
        <v>1</v>
      </c>
    </row>
    <row r="188" spans="1:3" x14ac:dyDescent="0.2">
      <c r="A188" s="38" t="s">
        <v>1478</v>
      </c>
      <c r="B188" s="39">
        <v>8.1</v>
      </c>
      <c r="C188" s="39">
        <v>1</v>
      </c>
    </row>
    <row r="189" spans="1:3" x14ac:dyDescent="0.2">
      <c r="A189" s="38" t="s">
        <v>1198</v>
      </c>
      <c r="B189" s="39">
        <v>8.4</v>
      </c>
      <c r="C189" s="39">
        <v>1</v>
      </c>
    </row>
    <row r="190" spans="1:3" x14ac:dyDescent="0.2">
      <c r="A190" s="38" t="s">
        <v>2072</v>
      </c>
      <c r="B190" s="39">
        <v>8.0333333333333332</v>
      </c>
      <c r="C190" s="39">
        <v>3</v>
      </c>
    </row>
    <row r="191" spans="1:3" x14ac:dyDescent="0.2">
      <c r="A191" s="38" t="s">
        <v>2890</v>
      </c>
      <c r="B191" s="39">
        <v>7.8</v>
      </c>
      <c r="C191" s="39">
        <v>1</v>
      </c>
    </row>
    <row r="192" spans="1:3" x14ac:dyDescent="0.2">
      <c r="A192" s="38" t="s">
        <v>3254</v>
      </c>
      <c r="B192" s="39">
        <v>8</v>
      </c>
      <c r="C192" s="39">
        <v>1</v>
      </c>
    </row>
    <row r="193" spans="1:3" x14ac:dyDescent="0.2">
      <c r="A193" s="38" t="s">
        <v>1412</v>
      </c>
      <c r="B193" s="39">
        <v>7.6</v>
      </c>
      <c r="C193" s="39">
        <v>5</v>
      </c>
    </row>
    <row r="194" spans="1:3" x14ac:dyDescent="0.2">
      <c r="A194" s="38" t="s">
        <v>1842</v>
      </c>
      <c r="B194" s="39">
        <v>7.6</v>
      </c>
      <c r="C194" s="39">
        <v>1</v>
      </c>
    </row>
    <row r="195" spans="1:3" x14ac:dyDescent="0.2">
      <c r="A195" s="38" t="s">
        <v>3272</v>
      </c>
      <c r="B195" s="39">
        <v>7.5</v>
      </c>
      <c r="C195" s="39">
        <v>1</v>
      </c>
    </row>
    <row r="196" spans="1:3" x14ac:dyDescent="0.2">
      <c r="A196" s="38" t="s">
        <v>2846</v>
      </c>
      <c r="B196" s="39">
        <v>7.9</v>
      </c>
      <c r="C196" s="39">
        <v>1</v>
      </c>
    </row>
    <row r="197" spans="1:3" x14ac:dyDescent="0.2">
      <c r="A197" s="38" t="s">
        <v>900</v>
      </c>
      <c r="B197" s="39">
        <v>8</v>
      </c>
      <c r="C197" s="39">
        <v>1</v>
      </c>
    </row>
    <row r="198" spans="1:3" x14ac:dyDescent="0.2">
      <c r="A198" s="38" t="s">
        <v>3396</v>
      </c>
      <c r="B198" s="39">
        <v>7.5</v>
      </c>
      <c r="C198" s="39">
        <v>1</v>
      </c>
    </row>
    <row r="199" spans="1:3" x14ac:dyDescent="0.2">
      <c r="A199" s="38" t="s">
        <v>2062</v>
      </c>
      <c r="B199" s="39">
        <v>8</v>
      </c>
      <c r="C199" s="39">
        <v>1</v>
      </c>
    </row>
    <row r="200" spans="1:3" x14ac:dyDescent="0.2">
      <c r="A200" s="38" t="s">
        <v>1344</v>
      </c>
      <c r="B200" s="39">
        <v>8.5</v>
      </c>
      <c r="C200" s="39">
        <v>1</v>
      </c>
    </row>
    <row r="201" spans="1:3" x14ac:dyDescent="0.2">
      <c r="A201" s="38" t="s">
        <v>3545</v>
      </c>
      <c r="B201" s="39">
        <v>7.9</v>
      </c>
      <c r="C201" s="39">
        <v>1</v>
      </c>
    </row>
    <row r="202" spans="1:3" x14ac:dyDescent="0.2">
      <c r="A202" s="38" t="s">
        <v>2130</v>
      </c>
      <c r="B202" s="39">
        <v>8.1999999999999993</v>
      </c>
      <c r="C202" s="39">
        <v>1</v>
      </c>
    </row>
    <row r="203" spans="1:3" x14ac:dyDescent="0.2">
      <c r="A203" s="38" t="s">
        <v>2316</v>
      </c>
      <c r="B203" s="39">
        <v>7.8</v>
      </c>
      <c r="C203" s="39">
        <v>2</v>
      </c>
    </row>
    <row r="204" spans="1:3" x14ac:dyDescent="0.2">
      <c r="A204" s="38" t="s">
        <v>725</v>
      </c>
      <c r="B204" s="39">
        <v>8.3000000000000007</v>
      </c>
      <c r="C204" s="39">
        <v>1</v>
      </c>
    </row>
    <row r="205" spans="1:3" x14ac:dyDescent="0.2">
      <c r="A205" s="38" t="s">
        <v>1909</v>
      </c>
      <c r="B205" s="39">
        <v>8.1</v>
      </c>
      <c r="C205" s="39">
        <v>1</v>
      </c>
    </row>
    <row r="206" spans="1:3" x14ac:dyDescent="0.2">
      <c r="A206" s="38" t="s">
        <v>2954</v>
      </c>
      <c r="B206" s="39">
        <v>7.7</v>
      </c>
      <c r="C206" s="39">
        <v>1</v>
      </c>
    </row>
    <row r="207" spans="1:3" x14ac:dyDescent="0.2">
      <c r="A207" s="38" t="s">
        <v>1851</v>
      </c>
      <c r="B207" s="39">
        <v>7.7</v>
      </c>
      <c r="C207" s="39">
        <v>1</v>
      </c>
    </row>
    <row r="208" spans="1:3" x14ac:dyDescent="0.2">
      <c r="A208" s="38" t="s">
        <v>1335</v>
      </c>
      <c r="B208" s="39">
        <v>8.3000000000000007</v>
      </c>
      <c r="C208" s="39">
        <v>1</v>
      </c>
    </row>
    <row r="209" spans="1:3" x14ac:dyDescent="0.2">
      <c r="A209" s="38" t="s">
        <v>3387</v>
      </c>
      <c r="B209" s="39">
        <v>7.8</v>
      </c>
      <c r="C209" s="39">
        <v>1</v>
      </c>
    </row>
    <row r="210" spans="1:3" x14ac:dyDescent="0.2">
      <c r="A210" s="38" t="s">
        <v>3344</v>
      </c>
      <c r="B210" s="39">
        <v>7.7</v>
      </c>
      <c r="C210" s="39">
        <v>1</v>
      </c>
    </row>
    <row r="211" spans="1:3" x14ac:dyDescent="0.2">
      <c r="A211" s="38" t="s">
        <v>3958</v>
      </c>
      <c r="B211" s="39">
        <v>7.3</v>
      </c>
      <c r="C211" s="39">
        <v>1</v>
      </c>
    </row>
    <row r="212" spans="1:3" x14ac:dyDescent="0.2">
      <c r="A212" s="38" t="s">
        <v>409</v>
      </c>
      <c r="B212" s="39">
        <v>8.3000000000000007</v>
      </c>
      <c r="C212" s="39">
        <v>1</v>
      </c>
    </row>
    <row r="213" spans="1:3" x14ac:dyDescent="0.2">
      <c r="A213" s="38" t="s">
        <v>113</v>
      </c>
      <c r="B213" s="39">
        <v>8.9</v>
      </c>
      <c r="C213" s="39">
        <v>1</v>
      </c>
    </row>
    <row r="214" spans="1:3" x14ac:dyDescent="0.2">
      <c r="A214" s="38" t="s">
        <v>1515</v>
      </c>
      <c r="B214" s="39">
        <v>7.6000000000000005</v>
      </c>
      <c r="C214" s="39">
        <v>3</v>
      </c>
    </row>
    <row r="215" spans="1:3" x14ac:dyDescent="0.2">
      <c r="A215" s="38" t="s">
        <v>4003</v>
      </c>
      <c r="B215" s="39">
        <v>7.1</v>
      </c>
      <c r="C215" s="39">
        <v>1</v>
      </c>
    </row>
    <row r="216" spans="1:3" x14ac:dyDescent="0.2">
      <c r="A216" s="38" t="s">
        <v>2564</v>
      </c>
      <c r="B216" s="39">
        <v>7.9</v>
      </c>
      <c r="C216" s="39">
        <v>1</v>
      </c>
    </row>
    <row r="217" spans="1:3" x14ac:dyDescent="0.2">
      <c r="A217" s="38" t="s">
        <v>1229</v>
      </c>
      <c r="B217" s="39">
        <v>8.1</v>
      </c>
      <c r="C217" s="39">
        <v>1</v>
      </c>
    </row>
    <row r="218" spans="1:3" x14ac:dyDescent="0.2">
      <c r="A218" s="38" t="s">
        <v>3499</v>
      </c>
      <c r="B218" s="39">
        <v>7.6</v>
      </c>
      <c r="C218" s="39">
        <v>1</v>
      </c>
    </row>
    <row r="219" spans="1:3" x14ac:dyDescent="0.2">
      <c r="A219" s="38" t="s">
        <v>3574</v>
      </c>
      <c r="B219" s="39">
        <v>7.6</v>
      </c>
      <c r="C219" s="39">
        <v>1</v>
      </c>
    </row>
    <row r="220" spans="1:3" x14ac:dyDescent="0.2">
      <c r="A220" s="38" t="s">
        <v>102</v>
      </c>
      <c r="B220" s="39">
        <v>8.3000000000000007</v>
      </c>
      <c r="C220" s="39">
        <v>2</v>
      </c>
    </row>
    <row r="221" spans="1:3" x14ac:dyDescent="0.2">
      <c r="A221" s="38" t="s">
        <v>3221</v>
      </c>
      <c r="B221" s="39">
        <v>7.6</v>
      </c>
      <c r="C221" s="39">
        <v>1</v>
      </c>
    </row>
    <row r="222" spans="1:3" x14ac:dyDescent="0.2">
      <c r="A222" s="38" t="s">
        <v>4075</v>
      </c>
      <c r="B222" s="39">
        <v>7.4</v>
      </c>
      <c r="C222" s="39">
        <v>1</v>
      </c>
    </row>
    <row r="223" spans="1:3" x14ac:dyDescent="0.2">
      <c r="A223" s="38" t="s">
        <v>4056</v>
      </c>
      <c r="B223" s="39">
        <v>7.3</v>
      </c>
      <c r="C223" s="39">
        <v>1</v>
      </c>
    </row>
    <row r="224" spans="1:3" x14ac:dyDescent="0.2">
      <c r="A224" s="38" t="s">
        <v>2516</v>
      </c>
      <c r="B224" s="39">
        <v>7.8</v>
      </c>
      <c r="C224" s="39">
        <v>1</v>
      </c>
    </row>
    <row r="225" spans="1:3" x14ac:dyDescent="0.2">
      <c r="A225" s="38" t="s">
        <v>783</v>
      </c>
      <c r="B225" s="39">
        <v>8.4</v>
      </c>
      <c r="C225" s="39">
        <v>1</v>
      </c>
    </row>
    <row r="226" spans="1:3" x14ac:dyDescent="0.2">
      <c r="A226" s="38" t="s">
        <v>4236</v>
      </c>
      <c r="B226" s="39">
        <v>7.4</v>
      </c>
      <c r="C226" s="39">
        <v>1</v>
      </c>
    </row>
    <row r="227" spans="1:3" x14ac:dyDescent="0.2">
      <c r="A227" s="38" t="s">
        <v>3713</v>
      </c>
      <c r="B227" s="39">
        <v>7.8</v>
      </c>
      <c r="C227" s="39">
        <v>1</v>
      </c>
    </row>
    <row r="228" spans="1:3" x14ac:dyDescent="0.2">
      <c r="A228" s="38" t="s">
        <v>2632</v>
      </c>
      <c r="B228" s="39">
        <v>8.1999999999999993</v>
      </c>
      <c r="C228" s="39">
        <v>1</v>
      </c>
    </row>
    <row r="229" spans="1:3" x14ac:dyDescent="0.2">
      <c r="A229" s="38" t="s">
        <v>186</v>
      </c>
      <c r="B229" s="39">
        <v>8.3000000000000007</v>
      </c>
      <c r="C229" s="39">
        <v>3</v>
      </c>
    </row>
    <row r="230" spans="1:3" x14ac:dyDescent="0.2">
      <c r="A230" s="38" t="s">
        <v>2772</v>
      </c>
      <c r="B230" s="39">
        <v>7.6</v>
      </c>
      <c r="C230" s="39">
        <v>1</v>
      </c>
    </row>
    <row r="231" spans="1:3" x14ac:dyDescent="0.2">
      <c r="A231" s="38" t="s">
        <v>2925</v>
      </c>
      <c r="B231" s="39">
        <v>7.9</v>
      </c>
      <c r="C231" s="39">
        <v>1</v>
      </c>
    </row>
    <row r="232" spans="1:3" x14ac:dyDescent="0.2">
      <c r="A232" s="38" t="s">
        <v>4379</v>
      </c>
      <c r="B232" s="39">
        <v>7.9694877505567945</v>
      </c>
      <c r="C232" s="39">
        <v>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A9F81-0F83-C64B-8EAA-0153242D2800}">
  <dimension ref="A1:X450"/>
  <sheetViews>
    <sheetView topLeftCell="A2" workbookViewId="0">
      <selection activeCell="B9" sqref="B9"/>
    </sheetView>
  </sheetViews>
  <sheetFormatPr baseColWidth="10" defaultRowHeight="16" x14ac:dyDescent="0.2"/>
  <cols>
    <col min="1" max="1" width="9.1640625" style="3" bestFit="1" customWidth="1"/>
    <col min="2" max="2" width="60.5" bestFit="1" customWidth="1"/>
    <col min="3" max="3" width="7.33203125" style="5" bestFit="1" customWidth="1"/>
    <col min="4" max="4" width="46.1640625" bestFit="1" customWidth="1"/>
    <col min="5" max="5" width="80.6640625" bestFit="1" customWidth="1"/>
    <col min="6" max="6" width="11.5" bestFit="1" customWidth="1"/>
    <col min="7" max="7" width="62" bestFit="1" customWidth="1"/>
    <col min="8" max="8" width="38" bestFit="1" customWidth="1"/>
    <col min="9" max="9" width="18.5" bestFit="1" customWidth="1"/>
    <col min="10" max="10" width="11.1640625" bestFit="1" customWidth="1"/>
    <col min="11" max="11" width="12.1640625" style="5" bestFit="1" customWidth="1"/>
    <col min="12" max="12" width="13.83203125" style="4" bestFit="1" customWidth="1"/>
    <col min="13" max="13" width="12" style="5" bestFit="1" customWidth="1"/>
    <col min="14" max="14" width="17.33203125" style="5" bestFit="1" customWidth="1"/>
    <col min="15" max="15" width="15.83203125" style="5" bestFit="1" customWidth="1"/>
    <col min="16" max="16" width="17.5" style="5" bestFit="1" customWidth="1"/>
    <col min="17" max="17" width="19.33203125" style="5" bestFit="1" customWidth="1"/>
    <col min="18" max="18" width="12.5" style="5" bestFit="1" customWidth="1"/>
    <col min="19" max="19" width="18.1640625" style="5" bestFit="1" customWidth="1"/>
    <col min="20" max="20" width="15" style="5" bestFit="1" customWidth="1"/>
    <col min="21" max="21" width="37.1640625" style="5" bestFit="1" customWidth="1"/>
    <col min="22" max="22" width="15.33203125" style="5" bestFit="1" customWidth="1"/>
    <col min="23" max="23" width="37.1640625" bestFit="1" customWidth="1"/>
    <col min="24" max="24" width="15.33203125" bestFit="1" customWidth="1"/>
  </cols>
  <sheetData>
    <row r="1" spans="1:24" x14ac:dyDescent="0.2">
      <c r="A1" s="3" t="s">
        <v>0</v>
      </c>
      <c r="B1" t="s">
        <v>1</v>
      </c>
      <c r="C1" s="5" t="s">
        <v>2</v>
      </c>
      <c r="D1" t="s">
        <v>3</v>
      </c>
      <c r="E1" t="s">
        <v>4</v>
      </c>
      <c r="F1" t="s">
        <v>6</v>
      </c>
      <c r="G1" t="s">
        <v>8</v>
      </c>
      <c r="H1" t="s">
        <v>9</v>
      </c>
      <c r="I1" s="5" t="s">
        <v>10</v>
      </c>
      <c r="J1" s="4" t="s">
        <v>11</v>
      </c>
      <c r="K1" s="5" t="s">
        <v>12</v>
      </c>
      <c r="L1" s="5" t="s">
        <v>13</v>
      </c>
      <c r="M1" s="5" t="s">
        <v>14</v>
      </c>
      <c r="N1" s="5" t="s">
        <v>15</v>
      </c>
      <c r="O1" s="5" t="s">
        <v>16</v>
      </c>
      <c r="P1" s="5" t="s">
        <v>17</v>
      </c>
      <c r="Q1" s="5" t="s">
        <v>18</v>
      </c>
      <c r="R1" s="5" t="s">
        <v>19</v>
      </c>
      <c r="S1" s="5" t="s">
        <v>20</v>
      </c>
      <c r="T1" s="5" t="s">
        <v>21</v>
      </c>
      <c r="U1" t="s">
        <v>22</v>
      </c>
      <c r="V1" t="s">
        <v>25</v>
      </c>
      <c r="W1" s="2" t="s">
        <v>4357</v>
      </c>
      <c r="X1" t="s">
        <v>4366</v>
      </c>
    </row>
    <row r="2" spans="1:24" x14ac:dyDescent="0.2">
      <c r="A2" s="3">
        <v>1</v>
      </c>
      <c r="B2" t="s">
        <v>26</v>
      </c>
      <c r="C2" s="5">
        <v>1972</v>
      </c>
      <c r="D2" t="s">
        <v>27</v>
      </c>
      <c r="E2" t="s">
        <v>28</v>
      </c>
      <c r="F2" t="s">
        <v>30</v>
      </c>
      <c r="G2" t="s">
        <v>32</v>
      </c>
      <c r="H2" t="s">
        <v>33</v>
      </c>
      <c r="I2" s="5">
        <v>93</v>
      </c>
      <c r="J2" s="4">
        <v>9.1999999999999993</v>
      </c>
      <c r="K2" s="5">
        <v>92</v>
      </c>
      <c r="L2" s="5">
        <v>2108796</v>
      </c>
      <c r="M2" s="5">
        <v>100</v>
      </c>
      <c r="N2" s="5">
        <v>96</v>
      </c>
      <c r="O2" s="5">
        <v>104</v>
      </c>
      <c r="P2" s="5">
        <v>95</v>
      </c>
      <c r="Q2" s="5">
        <v>1087289</v>
      </c>
      <c r="R2" s="5">
        <v>90</v>
      </c>
      <c r="S2" s="5">
        <v>1789555</v>
      </c>
      <c r="T2" s="5">
        <v>90</v>
      </c>
      <c r="U2" t="s">
        <v>42</v>
      </c>
      <c r="V2" s="2">
        <v>93.83</v>
      </c>
      <c r="W2" s="5">
        <f>Top_500_Movies_Ranked_by_Combined_Critics_and_Audience_Scores[[#This Row],[Critic_Rating_RT]]-Top_500_Movies_Ranked_by_Combined_Critics_and_Audience_Scores[[#This Row],[Audience_Rating]]</f>
        <v>1</v>
      </c>
      <c r="X2" s="5">
        <f>FLOOR(Top_500_Movies_Ranked_by_Combined_Critics_and_Audience_Scores[[#This Row],[Year]],10)</f>
        <v>1970</v>
      </c>
    </row>
    <row r="3" spans="1:24" x14ac:dyDescent="0.2">
      <c r="A3" s="3">
        <v>2</v>
      </c>
      <c r="B3" t="s">
        <v>46</v>
      </c>
      <c r="C3" s="5">
        <v>1954</v>
      </c>
      <c r="D3" t="s">
        <v>47</v>
      </c>
      <c r="E3" t="s">
        <v>48</v>
      </c>
      <c r="F3" t="s">
        <v>50</v>
      </c>
      <c r="G3" t="s">
        <v>52</v>
      </c>
      <c r="H3" t="s">
        <v>53</v>
      </c>
      <c r="I3" s="5">
        <v>93</v>
      </c>
      <c r="J3" s="4">
        <v>8.6</v>
      </c>
      <c r="K3" s="5">
        <v>86</v>
      </c>
      <c r="L3" s="5">
        <v>381712</v>
      </c>
      <c r="M3" s="5">
        <v>98</v>
      </c>
      <c r="N3" s="5">
        <v>97</v>
      </c>
      <c r="O3" s="5">
        <v>68</v>
      </c>
      <c r="P3" s="5">
        <v>94</v>
      </c>
      <c r="Q3" s="5">
        <v>167123</v>
      </c>
      <c r="R3" s="5">
        <v>92</v>
      </c>
      <c r="S3" s="5">
        <v>318537</v>
      </c>
      <c r="T3" s="5">
        <v>93</v>
      </c>
      <c r="U3" t="s">
        <v>60</v>
      </c>
      <c r="V3" s="2">
        <v>93.33</v>
      </c>
      <c r="W3" s="5">
        <f>Top_500_Movies_Ranked_by_Combined_Critics_and_Audience_Scores[[#This Row],[Critic_Rating_RT]]-Top_500_Movies_Ranked_by_Combined_Critics_and_Audience_Scores[[#This Row],[Audience_Rating]]</f>
        <v>3</v>
      </c>
      <c r="X3" s="5">
        <f>FLOOR(Top_500_Movies_Ranked_by_Combined_Critics_and_Audience_Scores[[#This Row],[Year]],10)</f>
        <v>1950</v>
      </c>
    </row>
    <row r="4" spans="1:24" x14ac:dyDescent="0.2">
      <c r="A4" s="3">
        <v>3</v>
      </c>
      <c r="B4" t="s">
        <v>64</v>
      </c>
      <c r="C4" s="5">
        <v>1957</v>
      </c>
      <c r="D4" t="s">
        <v>65</v>
      </c>
      <c r="E4" t="s">
        <v>66</v>
      </c>
      <c r="F4" t="s">
        <v>30</v>
      </c>
      <c r="G4" t="s">
        <v>69</v>
      </c>
      <c r="H4" t="s">
        <v>70</v>
      </c>
      <c r="I4" s="5">
        <v>92</v>
      </c>
      <c r="J4" s="4">
        <v>9</v>
      </c>
      <c r="K4" s="5">
        <v>90</v>
      </c>
      <c r="L4" s="5">
        <v>917215</v>
      </c>
      <c r="M4" s="5">
        <v>97</v>
      </c>
      <c r="N4" s="5">
        <v>93</v>
      </c>
      <c r="O4" s="5">
        <v>58</v>
      </c>
      <c r="P4" s="5">
        <v>94</v>
      </c>
      <c r="Q4" s="5">
        <v>376697</v>
      </c>
      <c r="R4" s="5">
        <v>92</v>
      </c>
      <c r="S4" s="5">
        <v>917590</v>
      </c>
      <c r="T4" s="5">
        <v>91</v>
      </c>
      <c r="U4" t="s">
        <v>75</v>
      </c>
      <c r="V4" s="2">
        <v>92.83</v>
      </c>
      <c r="W4" s="5">
        <f>Top_500_Movies_Ranked_by_Combined_Critics_and_Audience_Scores[[#This Row],[Critic_Rating_RT]]-Top_500_Movies_Ranked_by_Combined_Critics_and_Audience_Scores[[#This Row],[Audience_Rating]]</f>
        <v>-1</v>
      </c>
      <c r="X4" s="5">
        <f>FLOOR(Top_500_Movies_Ranked_by_Combined_Critics_and_Audience_Scores[[#This Row],[Year]],10)</f>
        <v>1950</v>
      </c>
    </row>
    <row r="5" spans="1:24" x14ac:dyDescent="0.2">
      <c r="A5" s="3">
        <v>4</v>
      </c>
      <c r="B5" t="s">
        <v>79</v>
      </c>
      <c r="C5" s="5">
        <v>1993</v>
      </c>
      <c r="D5" t="s">
        <v>80</v>
      </c>
      <c r="E5" t="s">
        <v>81</v>
      </c>
      <c r="F5" t="s">
        <v>30</v>
      </c>
      <c r="G5" t="s">
        <v>84</v>
      </c>
      <c r="H5" t="s">
        <v>85</v>
      </c>
      <c r="I5" s="5">
        <v>92</v>
      </c>
      <c r="J5" s="4">
        <v>9</v>
      </c>
      <c r="K5" s="5">
        <v>90</v>
      </c>
      <c r="L5" s="5">
        <v>1512905</v>
      </c>
      <c r="M5" s="5">
        <v>95</v>
      </c>
      <c r="N5" s="5">
        <v>93</v>
      </c>
      <c r="O5" s="5">
        <v>82</v>
      </c>
      <c r="P5" s="5">
        <v>94</v>
      </c>
      <c r="Q5" s="5">
        <v>601555</v>
      </c>
      <c r="R5" s="5">
        <v>90</v>
      </c>
      <c r="S5" s="5">
        <v>978054</v>
      </c>
      <c r="T5" s="5">
        <v>93</v>
      </c>
      <c r="U5" t="s">
        <v>75</v>
      </c>
      <c r="V5" s="2">
        <v>92.5</v>
      </c>
      <c r="W5" s="5">
        <f>Top_500_Movies_Ranked_by_Combined_Critics_and_Audience_Scores[[#This Row],[Critic_Rating_RT]]-Top_500_Movies_Ranked_by_Combined_Critics_and_Audience_Scores[[#This Row],[Audience_Rating]]</f>
        <v>-1</v>
      </c>
      <c r="X5" s="5">
        <f>FLOOR(Top_500_Movies_Ranked_by_Combined_Critics_and_Audience_Scores[[#This Row],[Year]],10)</f>
        <v>1990</v>
      </c>
    </row>
    <row r="6" spans="1:24" x14ac:dyDescent="0.2">
      <c r="A6" s="3">
        <v>5</v>
      </c>
      <c r="B6" t="s">
        <v>91</v>
      </c>
      <c r="C6" s="5">
        <v>1974</v>
      </c>
      <c r="D6" t="s">
        <v>27</v>
      </c>
      <c r="E6" t="s">
        <v>28</v>
      </c>
      <c r="F6" t="s">
        <v>30</v>
      </c>
      <c r="G6" t="s">
        <v>94</v>
      </c>
      <c r="H6" t="s">
        <v>33</v>
      </c>
      <c r="I6" s="5">
        <v>92</v>
      </c>
      <c r="J6" s="4">
        <v>9</v>
      </c>
      <c r="K6" s="5">
        <v>90</v>
      </c>
      <c r="L6" s="5">
        <v>1420179</v>
      </c>
      <c r="M6" s="5">
        <v>90</v>
      </c>
      <c r="N6" s="5">
        <v>95</v>
      </c>
      <c r="O6" s="5">
        <v>80</v>
      </c>
      <c r="P6" s="5">
        <v>94</v>
      </c>
      <c r="Q6" s="5">
        <v>586600</v>
      </c>
      <c r="R6" s="5">
        <v>92</v>
      </c>
      <c r="S6" s="5">
        <v>934120</v>
      </c>
      <c r="T6" s="5">
        <v>89</v>
      </c>
      <c r="U6" t="s">
        <v>42</v>
      </c>
      <c r="V6" s="2">
        <v>91.67</v>
      </c>
      <c r="W6" s="5">
        <f>Top_500_Movies_Ranked_by_Combined_Critics_and_Audience_Scores[[#This Row],[Critic_Rating_RT]]-Top_500_Movies_Ranked_by_Combined_Critics_and_Audience_Scores[[#This Row],[Audience_Rating]]</f>
        <v>1</v>
      </c>
      <c r="X6" s="5">
        <f>FLOOR(Top_500_Movies_Ranked_by_Combined_Critics_and_Audience_Scores[[#This Row],[Year]],10)</f>
        <v>1970</v>
      </c>
    </row>
    <row r="7" spans="1:24" x14ac:dyDescent="0.2">
      <c r="A7" s="3">
        <v>6</v>
      </c>
      <c r="B7" t="s">
        <v>101</v>
      </c>
      <c r="C7" s="5">
        <v>1954</v>
      </c>
      <c r="D7" t="s">
        <v>102</v>
      </c>
      <c r="E7" t="s">
        <v>103</v>
      </c>
      <c r="F7" t="s">
        <v>30</v>
      </c>
      <c r="G7" t="s">
        <v>106</v>
      </c>
      <c r="H7" t="s">
        <v>33</v>
      </c>
      <c r="I7" s="5">
        <v>91</v>
      </c>
      <c r="J7" s="4">
        <v>8.5</v>
      </c>
      <c r="K7" s="5">
        <v>85</v>
      </c>
      <c r="L7" s="5">
        <v>542959</v>
      </c>
      <c r="M7" s="5">
        <v>100</v>
      </c>
      <c r="N7" s="5">
        <v>95</v>
      </c>
      <c r="O7" s="5">
        <v>94</v>
      </c>
      <c r="P7" s="5">
        <v>92</v>
      </c>
      <c r="Q7" s="5">
        <v>303476</v>
      </c>
      <c r="R7" s="5">
        <v>88</v>
      </c>
      <c r="S7" s="5">
        <v>607614</v>
      </c>
      <c r="T7" s="5">
        <v>90</v>
      </c>
      <c r="U7" t="s">
        <v>75</v>
      </c>
      <c r="V7" s="2">
        <v>91.67</v>
      </c>
      <c r="W7" s="5">
        <f>Top_500_Movies_Ranked_by_Combined_Critics_and_Audience_Scores[[#This Row],[Critic_Rating_RT]]-Top_500_Movies_Ranked_by_Combined_Critics_and_Audience_Scores[[#This Row],[Audience_Rating]]</f>
        <v>3</v>
      </c>
      <c r="X7" s="5">
        <f>FLOOR(Top_500_Movies_Ranked_by_Combined_Critics_and_Audience_Scores[[#This Row],[Year]],10)</f>
        <v>1950</v>
      </c>
    </row>
    <row r="8" spans="1:24" x14ac:dyDescent="0.2">
      <c r="A8" s="3">
        <v>7</v>
      </c>
      <c r="B8" t="s">
        <v>112</v>
      </c>
      <c r="C8" s="5">
        <v>1994</v>
      </c>
      <c r="D8" t="s">
        <v>113</v>
      </c>
      <c r="E8" t="s">
        <v>114</v>
      </c>
      <c r="F8" t="s">
        <v>30</v>
      </c>
      <c r="G8" t="s">
        <v>117</v>
      </c>
      <c r="H8" t="s">
        <v>118</v>
      </c>
      <c r="I8" s="5">
        <v>91</v>
      </c>
      <c r="J8" s="4">
        <v>8.9</v>
      </c>
      <c r="K8" s="5">
        <v>89</v>
      </c>
      <c r="L8" s="5">
        <v>2319136</v>
      </c>
      <c r="M8" s="5">
        <v>95</v>
      </c>
      <c r="N8" s="5">
        <v>94</v>
      </c>
      <c r="O8" s="5">
        <v>132</v>
      </c>
      <c r="P8" s="5">
        <v>93</v>
      </c>
      <c r="Q8" s="5">
        <v>1731042</v>
      </c>
      <c r="R8" s="5">
        <v>86</v>
      </c>
      <c r="S8" s="5">
        <v>2931535</v>
      </c>
      <c r="T8" s="5">
        <v>92</v>
      </c>
      <c r="U8" t="s">
        <v>121</v>
      </c>
      <c r="V8" s="2">
        <v>91.5</v>
      </c>
      <c r="W8" s="5">
        <f>Top_500_Movies_Ranked_by_Combined_Critics_and_Audience_Scores[[#This Row],[Critic_Rating_RT]]-Top_500_Movies_Ranked_by_Combined_Critics_and_Audience_Scores[[#This Row],[Audience_Rating]]</f>
        <v>1</v>
      </c>
      <c r="X8" s="5">
        <f>FLOOR(Top_500_Movies_Ranked_by_Combined_Critics_and_Audience_Scores[[#This Row],[Year]],10)</f>
        <v>1990</v>
      </c>
    </row>
    <row r="9" spans="1:24" x14ac:dyDescent="0.2">
      <c r="A9" s="3">
        <v>8</v>
      </c>
      <c r="B9" t="s">
        <v>125</v>
      </c>
      <c r="C9" s="5">
        <v>1931</v>
      </c>
      <c r="D9" t="s">
        <v>126</v>
      </c>
      <c r="E9" t="s">
        <v>127</v>
      </c>
      <c r="F9" t="s">
        <v>30</v>
      </c>
      <c r="G9" t="s">
        <v>130</v>
      </c>
      <c r="H9" t="s">
        <v>131</v>
      </c>
      <c r="I9" s="5">
        <v>91</v>
      </c>
      <c r="J9" s="4">
        <v>8.5</v>
      </c>
      <c r="K9" s="5">
        <v>85</v>
      </c>
      <c r="L9" s="5">
        <v>205619</v>
      </c>
      <c r="M9" s="5">
        <v>99</v>
      </c>
      <c r="N9" s="5">
        <v>94</v>
      </c>
      <c r="O9" s="5">
        <v>52</v>
      </c>
      <c r="P9" s="5">
        <v>92</v>
      </c>
      <c r="Q9" s="5">
        <v>66173</v>
      </c>
      <c r="R9" s="5">
        <v>86</v>
      </c>
      <c r="S9" s="5">
        <v>144013</v>
      </c>
      <c r="T9" s="5">
        <v>92</v>
      </c>
      <c r="U9" t="s">
        <v>135</v>
      </c>
      <c r="V9" s="2">
        <v>91.33</v>
      </c>
      <c r="W9" s="5">
        <f>Top_500_Movies_Ranked_by_Combined_Critics_and_Audience_Scores[[#This Row],[Critic_Rating_RT]]-Top_500_Movies_Ranked_by_Combined_Critics_and_Audience_Scores[[#This Row],[Audience_Rating]]</f>
        <v>2</v>
      </c>
      <c r="X9" s="5">
        <f>FLOOR(Top_500_Movies_Ranked_by_Combined_Critics_and_Audience_Scores[[#This Row],[Year]],10)</f>
        <v>1930</v>
      </c>
    </row>
    <row r="10" spans="1:24" x14ac:dyDescent="0.2">
      <c r="A10" s="3">
        <v>9</v>
      </c>
      <c r="B10" t="s">
        <v>139</v>
      </c>
      <c r="C10" s="5">
        <v>2001</v>
      </c>
      <c r="D10" t="s">
        <v>140</v>
      </c>
      <c r="E10" t="s">
        <v>141</v>
      </c>
      <c r="F10" t="s">
        <v>50</v>
      </c>
      <c r="G10" t="s">
        <v>144</v>
      </c>
      <c r="H10" t="s">
        <v>145</v>
      </c>
      <c r="I10" s="5">
        <v>90</v>
      </c>
      <c r="J10" s="4">
        <v>8.6</v>
      </c>
      <c r="K10" s="5">
        <v>86</v>
      </c>
      <c r="L10" s="5">
        <v>901217</v>
      </c>
      <c r="M10" s="5">
        <v>96</v>
      </c>
      <c r="N10" s="5">
        <v>89</v>
      </c>
      <c r="O10" s="5">
        <v>134</v>
      </c>
      <c r="P10" s="5">
        <v>93</v>
      </c>
      <c r="Q10" s="5">
        <v>1052053</v>
      </c>
      <c r="R10" s="5">
        <v>88</v>
      </c>
      <c r="S10" s="5">
        <v>2478980</v>
      </c>
      <c r="T10" s="5">
        <v>95</v>
      </c>
      <c r="U10" t="s">
        <v>135</v>
      </c>
      <c r="V10" s="2">
        <v>91.17</v>
      </c>
      <c r="W10" s="5">
        <f>Top_500_Movies_Ranked_by_Combined_Critics_and_Audience_Scores[[#This Row],[Critic_Rating_RT]]-Top_500_Movies_Ranked_by_Combined_Critics_and_Audience_Scores[[#This Row],[Audience_Rating]]</f>
        <v>-4</v>
      </c>
      <c r="X10" s="5">
        <f>FLOOR(Top_500_Movies_Ranked_by_Combined_Critics_and_Audience_Scores[[#This Row],[Year]],10)</f>
        <v>2000</v>
      </c>
    </row>
    <row r="11" spans="1:24" x14ac:dyDescent="0.2">
      <c r="A11" s="3">
        <v>10</v>
      </c>
      <c r="B11" t="s">
        <v>151</v>
      </c>
      <c r="C11" s="5">
        <v>2019</v>
      </c>
      <c r="D11" t="s">
        <v>152</v>
      </c>
      <c r="E11" t="s">
        <v>153</v>
      </c>
      <c r="F11" t="s">
        <v>155</v>
      </c>
      <c r="G11" t="s">
        <v>4317</v>
      </c>
      <c r="H11" t="s">
        <v>4317</v>
      </c>
      <c r="I11" s="5">
        <v>91</v>
      </c>
      <c r="J11" s="4">
        <v>8.5</v>
      </c>
      <c r="K11" s="5">
        <v>85</v>
      </c>
      <c r="L11" s="5">
        <v>1050592</v>
      </c>
      <c r="M11" s="5">
        <v>97</v>
      </c>
      <c r="N11" s="5">
        <v>95</v>
      </c>
      <c r="O11" s="5">
        <v>314</v>
      </c>
      <c r="P11" s="5">
        <v>88</v>
      </c>
      <c r="Q11" s="5">
        <v>1273882</v>
      </c>
      <c r="R11" s="5">
        <v>90</v>
      </c>
      <c r="S11" s="5">
        <v>3771374</v>
      </c>
      <c r="T11" s="5">
        <v>90</v>
      </c>
      <c r="U11" t="s">
        <v>75</v>
      </c>
      <c r="V11" s="2">
        <v>90.83</v>
      </c>
      <c r="W11" s="5">
        <f>Top_500_Movies_Ranked_by_Combined_Critics_and_Audience_Scores[[#This Row],[Critic_Rating_RT]]-Top_500_Movies_Ranked_by_Combined_Critics_and_Audience_Scores[[#This Row],[Audience_Rating]]</f>
        <v>7</v>
      </c>
      <c r="X11" s="5">
        <f>FLOOR(Top_500_Movies_Ranked_by_Combined_Critics_and_Audience_Scores[[#This Row],[Year]],10)</f>
        <v>2010</v>
      </c>
    </row>
    <row r="12" spans="1:24" x14ac:dyDescent="0.2">
      <c r="A12" s="3">
        <v>11</v>
      </c>
      <c r="B12" t="s">
        <v>163</v>
      </c>
      <c r="C12" s="5">
        <v>1936</v>
      </c>
      <c r="D12" t="s">
        <v>126</v>
      </c>
      <c r="E12" t="s">
        <v>127</v>
      </c>
      <c r="F12" t="s">
        <v>30</v>
      </c>
      <c r="G12" t="s">
        <v>166</v>
      </c>
      <c r="H12" t="s">
        <v>167</v>
      </c>
      <c r="I12" s="5">
        <v>90</v>
      </c>
      <c r="J12" s="4">
        <v>8.5</v>
      </c>
      <c r="K12" s="5">
        <v>85</v>
      </c>
      <c r="L12" s="5">
        <v>271086</v>
      </c>
      <c r="M12" s="5">
        <v>96</v>
      </c>
      <c r="N12" s="5">
        <v>95</v>
      </c>
      <c r="O12" s="5">
        <v>72</v>
      </c>
      <c r="P12" s="5">
        <v>92</v>
      </c>
      <c r="Q12" s="5">
        <v>97048</v>
      </c>
      <c r="R12" s="5">
        <v>86</v>
      </c>
      <c r="S12" s="5">
        <v>210247</v>
      </c>
      <c r="T12" s="5">
        <v>90</v>
      </c>
      <c r="U12" t="s">
        <v>170</v>
      </c>
      <c r="V12" s="2">
        <v>90.67</v>
      </c>
      <c r="W12" s="5">
        <f>Top_500_Movies_Ranked_by_Combined_Critics_and_Audience_Scores[[#This Row],[Critic_Rating_RT]]-Top_500_Movies_Ranked_by_Combined_Critics_and_Audience_Scores[[#This Row],[Audience_Rating]]</f>
        <v>3</v>
      </c>
      <c r="X12" s="5">
        <f>FLOOR(Top_500_Movies_Ranked_by_Combined_Critics_and_Audience_Scores[[#This Row],[Year]],10)</f>
        <v>1930</v>
      </c>
    </row>
    <row r="13" spans="1:24" x14ac:dyDescent="0.2">
      <c r="A13" s="3">
        <v>12</v>
      </c>
      <c r="B13" t="s">
        <v>173</v>
      </c>
      <c r="C13" s="5">
        <v>1990</v>
      </c>
      <c r="D13" t="s">
        <v>27</v>
      </c>
      <c r="E13" t="s">
        <v>174</v>
      </c>
      <c r="F13" t="s">
        <v>30</v>
      </c>
      <c r="G13" t="s">
        <v>177</v>
      </c>
      <c r="H13" t="s">
        <v>178</v>
      </c>
      <c r="I13" s="5">
        <v>90</v>
      </c>
      <c r="J13" s="4">
        <v>8.6999999999999993</v>
      </c>
      <c r="K13" s="5">
        <v>87</v>
      </c>
      <c r="L13" s="5">
        <v>1315490</v>
      </c>
      <c r="M13" s="5">
        <v>92</v>
      </c>
      <c r="N13" s="5">
        <v>91</v>
      </c>
      <c r="O13" s="5">
        <v>95</v>
      </c>
      <c r="P13" s="5">
        <v>94</v>
      </c>
      <c r="Q13" s="5">
        <v>766130</v>
      </c>
      <c r="R13" s="5">
        <v>90</v>
      </c>
      <c r="S13" s="5">
        <v>1435501</v>
      </c>
      <c r="T13" s="5">
        <v>89</v>
      </c>
      <c r="U13" t="s">
        <v>170</v>
      </c>
      <c r="V13" s="2">
        <v>90.5</v>
      </c>
      <c r="W13" s="5">
        <f>Top_500_Movies_Ranked_by_Combined_Critics_and_Audience_Scores[[#This Row],[Critic_Rating_RT]]-Top_500_Movies_Ranked_by_Combined_Critics_and_Audience_Scores[[#This Row],[Audience_Rating]]</f>
        <v>-3</v>
      </c>
      <c r="X13" s="5">
        <f>FLOOR(Top_500_Movies_Ranked_by_Combined_Critics_and_Audience_Scores[[#This Row],[Year]],10)</f>
        <v>1990</v>
      </c>
    </row>
    <row r="14" spans="1:24" x14ac:dyDescent="0.2">
      <c r="A14" s="3">
        <v>13</v>
      </c>
      <c r="B14" t="s">
        <v>185</v>
      </c>
      <c r="C14" s="5">
        <v>1966</v>
      </c>
      <c r="D14" t="s">
        <v>186</v>
      </c>
      <c r="E14" t="s">
        <v>187</v>
      </c>
      <c r="F14" t="s">
        <v>189</v>
      </c>
      <c r="G14" t="s">
        <v>191</v>
      </c>
      <c r="H14" t="s">
        <v>167</v>
      </c>
      <c r="I14" s="5">
        <v>89</v>
      </c>
      <c r="J14" s="4">
        <v>8.8000000000000007</v>
      </c>
      <c r="K14" s="5">
        <v>88</v>
      </c>
      <c r="L14" s="5">
        <v>847249</v>
      </c>
      <c r="M14" s="5">
        <v>90</v>
      </c>
      <c r="N14" s="5">
        <v>89</v>
      </c>
      <c r="O14" s="5">
        <v>58</v>
      </c>
      <c r="P14" s="5">
        <v>94</v>
      </c>
      <c r="Q14" s="5">
        <v>328668</v>
      </c>
      <c r="R14" s="5">
        <v>90</v>
      </c>
      <c r="S14" s="5">
        <v>504912</v>
      </c>
      <c r="T14" s="5">
        <v>91</v>
      </c>
      <c r="U14" t="s">
        <v>75</v>
      </c>
      <c r="V14" s="2">
        <v>90.33</v>
      </c>
      <c r="W14" s="5">
        <f>Top_500_Movies_Ranked_by_Combined_Critics_and_Audience_Scores[[#This Row],[Critic_Rating_RT]]-Top_500_Movies_Ranked_by_Combined_Critics_and_Audience_Scores[[#This Row],[Audience_Rating]]</f>
        <v>-5</v>
      </c>
      <c r="X14" s="5">
        <f>FLOOR(Top_500_Movies_Ranked_by_Combined_Critics_and_Audience_Scores[[#This Row],[Year]],10)</f>
        <v>1960</v>
      </c>
    </row>
    <row r="15" spans="1:24" x14ac:dyDescent="0.2">
      <c r="A15" s="3">
        <v>14</v>
      </c>
      <c r="B15" t="s">
        <v>197</v>
      </c>
      <c r="C15" s="5">
        <v>1964</v>
      </c>
      <c r="D15" t="s">
        <v>198</v>
      </c>
      <c r="E15" t="s">
        <v>199</v>
      </c>
      <c r="F15" t="s">
        <v>30</v>
      </c>
      <c r="G15" t="s">
        <v>202</v>
      </c>
      <c r="H15" t="s">
        <v>203</v>
      </c>
      <c r="I15" s="5">
        <v>90</v>
      </c>
      <c r="J15" s="4">
        <v>8.3000000000000007</v>
      </c>
      <c r="K15" s="5">
        <v>83</v>
      </c>
      <c r="L15" s="5">
        <v>535648</v>
      </c>
      <c r="M15" s="5">
        <v>97</v>
      </c>
      <c r="N15" s="5">
        <v>93</v>
      </c>
      <c r="O15" s="5">
        <v>87</v>
      </c>
      <c r="P15" s="5">
        <v>90</v>
      </c>
      <c r="Q15" s="5">
        <v>298335</v>
      </c>
      <c r="R15" s="5">
        <v>86</v>
      </c>
      <c r="S15" s="5">
        <v>475057</v>
      </c>
      <c r="T15" s="5">
        <v>92</v>
      </c>
      <c r="U15" t="s">
        <v>75</v>
      </c>
      <c r="V15" s="2">
        <v>90.17</v>
      </c>
      <c r="W15" s="5">
        <f>Top_500_Movies_Ranked_by_Combined_Critics_and_Audience_Scores[[#This Row],[Critic_Rating_RT]]-Top_500_Movies_Ranked_by_Combined_Critics_and_Audience_Scores[[#This Row],[Audience_Rating]]</f>
        <v>3</v>
      </c>
      <c r="X15" s="5">
        <f>FLOOR(Top_500_Movies_Ranked_by_Combined_Critics_and_Audience_Scores[[#This Row],[Year]],10)</f>
        <v>1960</v>
      </c>
    </row>
    <row r="16" spans="1:24" x14ac:dyDescent="0.2">
      <c r="A16" s="3">
        <v>15</v>
      </c>
      <c r="B16" t="s">
        <v>210</v>
      </c>
      <c r="C16" s="5">
        <v>1942</v>
      </c>
      <c r="D16" t="s">
        <v>211</v>
      </c>
      <c r="E16" t="s">
        <v>212</v>
      </c>
      <c r="F16" t="s">
        <v>30</v>
      </c>
      <c r="G16" t="s">
        <v>215</v>
      </c>
      <c r="H16" t="s">
        <v>216</v>
      </c>
      <c r="I16" s="5">
        <v>90</v>
      </c>
      <c r="J16" s="4">
        <v>8.5</v>
      </c>
      <c r="K16" s="5">
        <v>85</v>
      </c>
      <c r="L16" s="5">
        <v>628003</v>
      </c>
      <c r="M16" s="5">
        <v>100</v>
      </c>
      <c r="N16" s="5">
        <v>96</v>
      </c>
      <c r="O16" s="5">
        <v>96</v>
      </c>
      <c r="P16" s="5">
        <v>91</v>
      </c>
      <c r="Q16" s="5">
        <v>429846</v>
      </c>
      <c r="R16" s="5">
        <v>86</v>
      </c>
      <c r="S16" s="5">
        <v>572792</v>
      </c>
      <c r="T16" s="5">
        <v>83</v>
      </c>
      <c r="U16" t="s">
        <v>60</v>
      </c>
      <c r="V16" s="2">
        <v>90.17</v>
      </c>
      <c r="W16" s="5">
        <f>Top_500_Movies_Ranked_by_Combined_Critics_and_Audience_Scores[[#This Row],[Critic_Rating_RT]]-Top_500_Movies_Ranked_by_Combined_Critics_and_Audience_Scores[[#This Row],[Audience_Rating]]</f>
        <v>5</v>
      </c>
      <c r="X16" s="5">
        <f>FLOOR(Top_500_Movies_Ranked_by_Combined_Critics_and_Audience_Scores[[#This Row],[Year]],10)</f>
        <v>1940</v>
      </c>
    </row>
    <row r="17" spans="1:24" x14ac:dyDescent="0.2">
      <c r="A17" s="3">
        <v>16</v>
      </c>
      <c r="B17" t="s">
        <v>221</v>
      </c>
      <c r="C17" s="5">
        <v>1966</v>
      </c>
      <c r="D17" t="s">
        <v>222</v>
      </c>
      <c r="E17" t="s">
        <v>223</v>
      </c>
      <c r="F17" t="s">
        <v>189</v>
      </c>
      <c r="G17" t="s">
        <v>226</v>
      </c>
      <c r="H17" t="s">
        <v>227</v>
      </c>
      <c r="I17" s="5">
        <v>90</v>
      </c>
      <c r="J17" s="4">
        <v>8.1</v>
      </c>
      <c r="K17" s="5">
        <v>81</v>
      </c>
      <c r="L17" s="5">
        <v>70309</v>
      </c>
      <c r="M17" s="5">
        <v>96</v>
      </c>
      <c r="N17" s="5">
        <v>92</v>
      </c>
      <c r="O17" s="5">
        <v>67</v>
      </c>
      <c r="P17" s="5">
        <v>91</v>
      </c>
      <c r="Q17" s="5">
        <v>37316</v>
      </c>
      <c r="R17" s="5">
        <v>88</v>
      </c>
      <c r="S17" s="5">
        <v>82844</v>
      </c>
      <c r="T17" s="5">
        <v>92</v>
      </c>
      <c r="U17" t="s">
        <v>135</v>
      </c>
      <c r="V17" s="2">
        <v>90</v>
      </c>
      <c r="W17" s="5">
        <f>Top_500_Movies_Ranked_by_Combined_Critics_and_Audience_Scores[[#This Row],[Critic_Rating_RT]]-Top_500_Movies_Ranked_by_Combined_Critics_and_Audience_Scores[[#This Row],[Audience_Rating]]</f>
        <v>1</v>
      </c>
      <c r="X17" s="5">
        <f>FLOOR(Top_500_Movies_Ranked_by_Combined_Critics_and_Audience_Scores[[#This Row],[Year]],10)</f>
        <v>1960</v>
      </c>
    </row>
    <row r="18" spans="1:24" x14ac:dyDescent="0.2">
      <c r="A18" s="3">
        <v>17</v>
      </c>
      <c r="B18" t="s">
        <v>233</v>
      </c>
      <c r="C18" s="5">
        <v>1952</v>
      </c>
      <c r="D18" t="s">
        <v>234</v>
      </c>
      <c r="E18" t="s">
        <v>235</v>
      </c>
      <c r="F18" t="s">
        <v>30</v>
      </c>
      <c r="G18" t="s">
        <v>238</v>
      </c>
      <c r="H18" t="s">
        <v>239</v>
      </c>
      <c r="I18" s="5">
        <v>90</v>
      </c>
      <c r="J18" s="4">
        <v>8.3000000000000007</v>
      </c>
      <c r="K18" s="5">
        <v>83</v>
      </c>
      <c r="L18" s="5">
        <v>270897</v>
      </c>
      <c r="M18" s="5">
        <v>99</v>
      </c>
      <c r="N18" s="5">
        <v>95</v>
      </c>
      <c r="O18" s="5">
        <v>62</v>
      </c>
      <c r="P18" s="5">
        <v>91</v>
      </c>
      <c r="Q18" s="5">
        <v>242729</v>
      </c>
      <c r="R18" s="5">
        <v>86</v>
      </c>
      <c r="S18" s="5">
        <v>450117</v>
      </c>
      <c r="T18" s="5">
        <v>86</v>
      </c>
      <c r="U18" t="s">
        <v>60</v>
      </c>
      <c r="V18" s="2">
        <v>90</v>
      </c>
      <c r="W18" s="5">
        <f>Top_500_Movies_Ranked_by_Combined_Critics_and_Audience_Scores[[#This Row],[Critic_Rating_RT]]-Top_500_Movies_Ranked_by_Combined_Critics_and_Audience_Scores[[#This Row],[Audience_Rating]]</f>
        <v>4</v>
      </c>
      <c r="X18" s="5">
        <f>FLOOR(Top_500_Movies_Ranked_by_Combined_Critics_and_Audience_Scores[[#This Row],[Year]],10)</f>
        <v>1950</v>
      </c>
    </row>
    <row r="19" spans="1:24" x14ac:dyDescent="0.2">
      <c r="A19" s="3">
        <v>18</v>
      </c>
      <c r="B19" t="s">
        <v>244</v>
      </c>
      <c r="C19" s="5">
        <v>1959</v>
      </c>
      <c r="D19" t="s">
        <v>245</v>
      </c>
      <c r="E19" t="s">
        <v>246</v>
      </c>
      <c r="F19" t="s">
        <v>30</v>
      </c>
      <c r="G19" t="s">
        <v>249</v>
      </c>
      <c r="H19" t="s">
        <v>167</v>
      </c>
      <c r="I19" s="5">
        <v>89</v>
      </c>
      <c r="J19" s="4">
        <v>8.1999999999999993</v>
      </c>
      <c r="K19" s="5">
        <v>82</v>
      </c>
      <c r="L19" s="5">
        <v>293363</v>
      </c>
      <c r="M19" s="5">
        <v>98</v>
      </c>
      <c r="N19" s="5">
        <v>93</v>
      </c>
      <c r="O19" s="5">
        <v>77</v>
      </c>
      <c r="P19" s="5">
        <v>90</v>
      </c>
      <c r="Q19" s="5">
        <v>143114</v>
      </c>
      <c r="R19" s="5">
        <v>86</v>
      </c>
      <c r="S19" s="5">
        <v>264180</v>
      </c>
      <c r="T19" s="5">
        <v>90</v>
      </c>
      <c r="U19" t="s">
        <v>253</v>
      </c>
      <c r="V19" s="2">
        <v>89.83</v>
      </c>
      <c r="W19" s="5">
        <f>Top_500_Movies_Ranked_by_Combined_Critics_and_Audience_Scores[[#This Row],[Critic_Rating_RT]]-Top_500_Movies_Ranked_by_Combined_Critics_and_Audience_Scores[[#This Row],[Audience_Rating]]</f>
        <v>3</v>
      </c>
      <c r="X19" s="5">
        <f>FLOOR(Top_500_Movies_Ranked_by_Combined_Critics_and_Audience_Scores[[#This Row],[Year]],10)</f>
        <v>1950</v>
      </c>
    </row>
    <row r="20" spans="1:24" x14ac:dyDescent="0.2">
      <c r="A20" s="3">
        <v>19</v>
      </c>
      <c r="B20" t="s">
        <v>257</v>
      </c>
      <c r="C20" s="5">
        <v>1960</v>
      </c>
      <c r="D20" t="s">
        <v>258</v>
      </c>
      <c r="E20" t="s">
        <v>103</v>
      </c>
      <c r="F20" t="s">
        <v>30</v>
      </c>
      <c r="G20" t="s">
        <v>261</v>
      </c>
      <c r="H20" t="s">
        <v>33</v>
      </c>
      <c r="I20" s="5">
        <v>89</v>
      </c>
      <c r="J20" s="4">
        <v>8.5</v>
      </c>
      <c r="K20" s="5">
        <v>85</v>
      </c>
      <c r="L20" s="5">
        <v>748078</v>
      </c>
      <c r="M20" s="5">
        <v>97</v>
      </c>
      <c r="N20" s="5">
        <v>94</v>
      </c>
      <c r="O20" s="5">
        <v>97</v>
      </c>
      <c r="P20" s="5">
        <v>92</v>
      </c>
      <c r="Q20" s="5">
        <v>491167</v>
      </c>
      <c r="R20" s="5">
        <v>86</v>
      </c>
      <c r="S20" s="5">
        <v>991319</v>
      </c>
      <c r="T20" s="5">
        <v>85</v>
      </c>
      <c r="U20" t="s">
        <v>75</v>
      </c>
      <c r="V20" s="2">
        <v>89.83</v>
      </c>
      <c r="W20" s="5">
        <f>Top_500_Movies_Ranked_by_Combined_Critics_and_Audience_Scores[[#This Row],[Critic_Rating_RT]]-Top_500_Movies_Ranked_by_Combined_Critics_and_Audience_Scores[[#This Row],[Audience_Rating]]</f>
        <v>2</v>
      </c>
      <c r="X20" s="5">
        <f>FLOOR(Top_500_Movies_Ranked_by_Combined_Critics_and_Audience_Scores[[#This Row],[Year]],10)</f>
        <v>1960</v>
      </c>
    </row>
    <row r="21" spans="1:24" x14ac:dyDescent="0.2">
      <c r="A21" s="3">
        <v>20</v>
      </c>
      <c r="B21" t="s">
        <v>266</v>
      </c>
      <c r="C21" s="5">
        <v>1979</v>
      </c>
      <c r="D21" t="s">
        <v>267</v>
      </c>
      <c r="E21" t="s">
        <v>28</v>
      </c>
      <c r="F21" t="s">
        <v>30</v>
      </c>
      <c r="G21" t="s">
        <v>270</v>
      </c>
      <c r="H21" t="s">
        <v>167</v>
      </c>
      <c r="I21" s="5">
        <v>89</v>
      </c>
      <c r="J21" s="4">
        <v>8.4</v>
      </c>
      <c r="K21" s="5">
        <v>84</v>
      </c>
      <c r="L21" s="5">
        <v>737539</v>
      </c>
      <c r="M21" s="5">
        <v>94</v>
      </c>
      <c r="N21" s="5">
        <v>92</v>
      </c>
      <c r="O21" s="5">
        <v>117</v>
      </c>
      <c r="P21" s="5">
        <v>91</v>
      </c>
      <c r="Q21" s="5">
        <v>429279</v>
      </c>
      <c r="R21" s="5">
        <v>88</v>
      </c>
      <c r="S21" s="5">
        <v>714063</v>
      </c>
      <c r="T21" s="5">
        <v>89</v>
      </c>
      <c r="U21" t="s">
        <v>75</v>
      </c>
      <c r="V21" s="2">
        <v>89.67</v>
      </c>
      <c r="W21" s="5">
        <f>Top_500_Movies_Ranked_by_Combined_Critics_and_Audience_Scores[[#This Row],[Critic_Rating_RT]]-Top_500_Movies_Ranked_by_Combined_Critics_and_Audience_Scores[[#This Row],[Audience_Rating]]</f>
        <v>1</v>
      </c>
      <c r="X21" s="5">
        <f>FLOOR(Top_500_Movies_Ranked_by_Combined_Critics_and_Audience_Scores[[#This Row],[Year]],10)</f>
        <v>1970</v>
      </c>
    </row>
    <row r="22" spans="1:24" x14ac:dyDescent="0.2">
      <c r="A22" s="3">
        <v>21</v>
      </c>
      <c r="B22" t="s">
        <v>277</v>
      </c>
      <c r="C22" s="5">
        <v>1944</v>
      </c>
      <c r="D22" t="s">
        <v>278</v>
      </c>
      <c r="E22" t="s">
        <v>246</v>
      </c>
      <c r="F22" t="s">
        <v>30</v>
      </c>
      <c r="G22" t="s">
        <v>281</v>
      </c>
      <c r="H22" t="s">
        <v>33</v>
      </c>
      <c r="I22" s="5">
        <v>89</v>
      </c>
      <c r="J22" s="4">
        <v>8.3000000000000007</v>
      </c>
      <c r="K22" s="5">
        <v>83</v>
      </c>
      <c r="L22" s="5">
        <v>173790</v>
      </c>
      <c r="M22" s="5">
        <v>95</v>
      </c>
      <c r="N22" s="5">
        <v>93</v>
      </c>
      <c r="O22" s="5">
        <v>72</v>
      </c>
      <c r="P22" s="5">
        <v>91</v>
      </c>
      <c r="Q22" s="5">
        <v>79935</v>
      </c>
      <c r="R22" s="5">
        <v>86</v>
      </c>
      <c r="S22" s="5">
        <v>167927</v>
      </c>
      <c r="T22" s="5">
        <v>89</v>
      </c>
      <c r="U22" t="s">
        <v>253</v>
      </c>
      <c r="V22" s="2">
        <v>89.5</v>
      </c>
      <c r="W22" s="5">
        <f>Top_500_Movies_Ranked_by_Combined_Critics_and_Audience_Scores[[#This Row],[Critic_Rating_RT]]-Top_500_Movies_Ranked_by_Combined_Critics_and_Audience_Scores[[#This Row],[Audience_Rating]]</f>
        <v>2</v>
      </c>
      <c r="X22" s="5">
        <f>FLOOR(Top_500_Movies_Ranked_by_Combined_Critics_and_Audience_Scores[[#This Row],[Year]],10)</f>
        <v>1940</v>
      </c>
    </row>
    <row r="23" spans="1:24" x14ac:dyDescent="0.2">
      <c r="A23" s="3">
        <v>22</v>
      </c>
      <c r="B23" t="s">
        <v>287</v>
      </c>
      <c r="C23" s="5">
        <v>1950</v>
      </c>
      <c r="D23" t="s">
        <v>288</v>
      </c>
      <c r="E23" t="s">
        <v>48</v>
      </c>
      <c r="F23" t="s">
        <v>50</v>
      </c>
      <c r="G23" t="s">
        <v>4317</v>
      </c>
      <c r="H23" t="s">
        <v>4317</v>
      </c>
      <c r="I23" s="5">
        <v>89</v>
      </c>
      <c r="J23" s="4">
        <v>8.1999999999999993</v>
      </c>
      <c r="K23" s="5">
        <v>82</v>
      </c>
      <c r="L23" s="5">
        <v>188349</v>
      </c>
      <c r="M23" s="5">
        <v>98</v>
      </c>
      <c r="N23" s="5">
        <v>94</v>
      </c>
      <c r="O23" s="5">
        <v>52</v>
      </c>
      <c r="P23" s="5">
        <v>90</v>
      </c>
      <c r="Q23" s="5">
        <v>105423</v>
      </c>
      <c r="R23" s="5">
        <v>84</v>
      </c>
      <c r="S23" s="5">
        <v>219549</v>
      </c>
      <c r="T23" s="5">
        <v>88</v>
      </c>
      <c r="U23" t="s">
        <v>135</v>
      </c>
      <c r="V23" s="2">
        <v>89.33</v>
      </c>
      <c r="W23" s="5">
        <f>Top_500_Movies_Ranked_by_Combined_Critics_and_Audience_Scores[[#This Row],[Critic_Rating_RT]]-Top_500_Movies_Ranked_by_Combined_Critics_and_Audience_Scores[[#This Row],[Audience_Rating]]</f>
        <v>4</v>
      </c>
      <c r="X23" s="5">
        <f>FLOOR(Top_500_Movies_Ranked_by_Combined_Critics_and_Audience_Scores[[#This Row],[Year]],10)</f>
        <v>1950</v>
      </c>
    </row>
    <row r="24" spans="1:24" x14ac:dyDescent="0.2">
      <c r="A24" s="3">
        <v>23</v>
      </c>
      <c r="B24" t="s">
        <v>296</v>
      </c>
      <c r="C24" s="5">
        <v>1962</v>
      </c>
      <c r="D24" t="s">
        <v>297</v>
      </c>
      <c r="E24" t="s">
        <v>298</v>
      </c>
      <c r="F24" t="s">
        <v>30</v>
      </c>
      <c r="G24" t="s">
        <v>301</v>
      </c>
      <c r="H24" t="s">
        <v>53</v>
      </c>
      <c r="I24" s="5">
        <v>89</v>
      </c>
      <c r="J24" s="4">
        <v>8.3000000000000007</v>
      </c>
      <c r="K24" s="5">
        <v>83</v>
      </c>
      <c r="L24" s="5">
        <v>327276</v>
      </c>
      <c r="M24" s="5">
        <v>100</v>
      </c>
      <c r="N24" s="5">
        <v>96</v>
      </c>
      <c r="O24" s="5">
        <v>82</v>
      </c>
      <c r="P24" s="5">
        <v>89</v>
      </c>
      <c r="Q24" s="5">
        <v>129761</v>
      </c>
      <c r="R24" s="5">
        <v>88</v>
      </c>
      <c r="S24" s="5">
        <v>238330</v>
      </c>
      <c r="T24" s="5">
        <v>80</v>
      </c>
      <c r="U24" t="s">
        <v>75</v>
      </c>
      <c r="V24" s="2">
        <v>89.33</v>
      </c>
      <c r="W24" s="5">
        <f>Top_500_Movies_Ranked_by_Combined_Critics_and_Audience_Scores[[#This Row],[Critic_Rating_RT]]-Top_500_Movies_Ranked_by_Combined_Critics_and_Audience_Scores[[#This Row],[Audience_Rating]]</f>
        <v>7</v>
      </c>
      <c r="X24" s="5">
        <f>FLOOR(Top_500_Movies_Ranked_by_Combined_Critics_and_Audience_Scores[[#This Row],[Year]],10)</f>
        <v>1960</v>
      </c>
    </row>
    <row r="25" spans="1:24" x14ac:dyDescent="0.2">
      <c r="A25" s="3">
        <v>24</v>
      </c>
      <c r="B25" t="s">
        <v>307</v>
      </c>
      <c r="C25" s="5">
        <v>1950</v>
      </c>
      <c r="D25" t="s">
        <v>65</v>
      </c>
      <c r="E25" t="s">
        <v>308</v>
      </c>
      <c r="F25" t="s">
        <v>30</v>
      </c>
      <c r="G25" t="s">
        <v>311</v>
      </c>
      <c r="H25" t="s">
        <v>312</v>
      </c>
      <c r="I25" s="5">
        <v>89</v>
      </c>
      <c r="J25" s="4">
        <v>8.1999999999999993</v>
      </c>
      <c r="K25" s="5">
        <v>82</v>
      </c>
      <c r="L25" s="5">
        <v>143727</v>
      </c>
      <c r="M25" s="5">
        <v>98</v>
      </c>
      <c r="N25" s="5">
        <v>95</v>
      </c>
      <c r="O25" s="5">
        <v>73</v>
      </c>
      <c r="P25" s="5">
        <v>90</v>
      </c>
      <c r="Q25" s="5">
        <v>66740</v>
      </c>
      <c r="R25" s="5">
        <v>88</v>
      </c>
      <c r="S25" s="5">
        <v>109394</v>
      </c>
      <c r="T25" s="5">
        <v>83</v>
      </c>
      <c r="U25" t="s">
        <v>75</v>
      </c>
      <c r="V25" s="2">
        <v>89.33</v>
      </c>
      <c r="W25" s="5">
        <f>Top_500_Movies_Ranked_by_Combined_Critics_and_Audience_Scores[[#This Row],[Critic_Rating_RT]]-Top_500_Movies_Ranked_by_Combined_Critics_and_Audience_Scores[[#This Row],[Audience_Rating]]</f>
        <v>5</v>
      </c>
      <c r="X25" s="5">
        <f>FLOOR(Top_500_Movies_Ranked_by_Combined_Critics_and_Audience_Scores[[#This Row],[Year]],10)</f>
        <v>1950</v>
      </c>
    </row>
    <row r="26" spans="1:24" x14ac:dyDescent="0.2">
      <c r="A26" s="3">
        <v>25</v>
      </c>
      <c r="B26" t="s">
        <v>317</v>
      </c>
      <c r="C26" s="5">
        <v>2019</v>
      </c>
      <c r="D26" t="s">
        <v>318</v>
      </c>
      <c r="E26" t="s">
        <v>4318</v>
      </c>
      <c r="F26" t="s">
        <v>321</v>
      </c>
      <c r="G26" t="s">
        <v>4317</v>
      </c>
      <c r="H26" t="s">
        <v>4317</v>
      </c>
      <c r="I26" s="5">
        <v>89</v>
      </c>
      <c r="J26" s="4">
        <v>8.1</v>
      </c>
      <c r="K26" s="5">
        <v>81</v>
      </c>
      <c r="L26" s="5">
        <v>117917</v>
      </c>
      <c r="M26" s="5">
        <v>95</v>
      </c>
      <c r="N26" s="5">
        <v>91</v>
      </c>
      <c r="O26" s="5">
        <v>197</v>
      </c>
      <c r="P26" s="5">
        <v>89</v>
      </c>
      <c r="Q26" s="5">
        <v>275015</v>
      </c>
      <c r="R26" s="5">
        <v>88</v>
      </c>
      <c r="S26" s="5">
        <v>819613</v>
      </c>
      <c r="T26" s="5">
        <v>91</v>
      </c>
      <c r="U26" t="s">
        <v>325</v>
      </c>
      <c r="V26" s="2">
        <v>89.17</v>
      </c>
      <c r="W26" s="5">
        <f>Top_500_Movies_Ranked_by_Combined_Critics_and_Audience_Scores[[#This Row],[Critic_Rating_RT]]-Top_500_Movies_Ranked_by_Combined_Critics_and_Audience_Scores[[#This Row],[Audience_Rating]]</f>
        <v>2</v>
      </c>
      <c r="X26" s="5">
        <f>FLOOR(Top_500_Movies_Ranked_by_Combined_Critics_and_Audience_Scores[[#This Row],[Year]],10)</f>
        <v>2010</v>
      </c>
    </row>
    <row r="27" spans="1:24" x14ac:dyDescent="0.2">
      <c r="A27" s="3">
        <v>26</v>
      </c>
      <c r="B27" t="s">
        <v>329</v>
      </c>
      <c r="C27" s="5">
        <v>2011</v>
      </c>
      <c r="D27" t="s">
        <v>65</v>
      </c>
      <c r="E27" t="s">
        <v>330</v>
      </c>
      <c r="F27" t="s">
        <v>332</v>
      </c>
      <c r="G27" t="s">
        <v>334</v>
      </c>
      <c r="H27" t="s">
        <v>335</v>
      </c>
      <c r="I27" s="5">
        <v>89</v>
      </c>
      <c r="J27" s="4">
        <v>8.3000000000000007</v>
      </c>
      <c r="K27" s="5">
        <v>83</v>
      </c>
      <c r="L27" s="5">
        <v>267944</v>
      </c>
      <c r="M27" s="5">
        <v>95</v>
      </c>
      <c r="N27" s="5">
        <v>91</v>
      </c>
      <c r="O27" s="5">
        <v>117</v>
      </c>
      <c r="P27" s="5">
        <v>88</v>
      </c>
      <c r="Q27" s="5">
        <v>62517</v>
      </c>
      <c r="R27" s="5">
        <v>88</v>
      </c>
      <c r="S27" s="5">
        <v>141543</v>
      </c>
      <c r="T27" s="5">
        <v>89</v>
      </c>
      <c r="U27" t="s">
        <v>75</v>
      </c>
      <c r="V27" s="2">
        <v>89</v>
      </c>
      <c r="W27" s="5">
        <f>Top_500_Movies_Ranked_by_Combined_Critics_and_Audience_Scores[[#This Row],[Critic_Rating_RT]]-Top_500_Movies_Ranked_by_Combined_Critics_and_Audience_Scores[[#This Row],[Audience_Rating]]</f>
        <v>3</v>
      </c>
      <c r="X27" s="5">
        <f>FLOOR(Top_500_Movies_Ranked_by_Combined_Critics_and_Audience_Scores[[#This Row],[Year]],10)</f>
        <v>2010</v>
      </c>
    </row>
    <row r="28" spans="1:24" x14ac:dyDescent="0.2">
      <c r="A28" s="3">
        <v>27</v>
      </c>
      <c r="B28" t="s">
        <v>340</v>
      </c>
      <c r="C28" s="5">
        <v>2025</v>
      </c>
      <c r="D28" t="s">
        <v>341</v>
      </c>
      <c r="E28" t="s">
        <v>342</v>
      </c>
      <c r="F28" t="s">
        <v>30</v>
      </c>
      <c r="G28" t="s">
        <v>4317</v>
      </c>
      <c r="H28" t="s">
        <v>4317</v>
      </c>
      <c r="I28" s="5">
        <v>89</v>
      </c>
      <c r="J28" s="4">
        <v>8.1999999999999993</v>
      </c>
      <c r="K28" s="5">
        <v>82</v>
      </c>
      <c r="L28" s="5">
        <v>115333</v>
      </c>
      <c r="M28" s="5">
        <v>95</v>
      </c>
      <c r="N28" s="5">
        <v>91</v>
      </c>
      <c r="O28" s="5">
        <v>211</v>
      </c>
      <c r="R28" s="5">
        <v>88</v>
      </c>
      <c r="U28" t="s">
        <v>4317</v>
      </c>
      <c r="V28" s="2">
        <v>89</v>
      </c>
      <c r="W28" s="5">
        <f>Top_500_Movies_Ranked_by_Combined_Critics_and_Audience_Scores[[#This Row],[Critic_Rating_RT]]-Top_500_Movies_Ranked_by_Combined_Critics_and_Audience_Scores[[#This Row],[Audience_Rating]]</f>
        <v>91</v>
      </c>
      <c r="X28" s="5">
        <f>FLOOR(Top_500_Movies_Ranked_by_Combined_Critics_and_Audience_Scores[[#This Row],[Year]],10)</f>
        <v>2020</v>
      </c>
    </row>
    <row r="29" spans="1:24" x14ac:dyDescent="0.2">
      <c r="A29" s="3">
        <v>28</v>
      </c>
      <c r="B29" t="s">
        <v>347</v>
      </c>
      <c r="C29" s="5">
        <v>2003</v>
      </c>
      <c r="D29" t="s">
        <v>348</v>
      </c>
      <c r="E29" t="s">
        <v>349</v>
      </c>
      <c r="F29" t="s">
        <v>30</v>
      </c>
      <c r="G29" t="s">
        <v>352</v>
      </c>
      <c r="H29" t="s">
        <v>353</v>
      </c>
      <c r="I29" s="5">
        <v>89</v>
      </c>
      <c r="J29" s="4">
        <v>9</v>
      </c>
      <c r="K29" s="5">
        <v>90</v>
      </c>
      <c r="L29" s="5">
        <v>2064721</v>
      </c>
      <c r="M29" s="5">
        <v>94</v>
      </c>
      <c r="N29" s="5">
        <v>89</v>
      </c>
      <c r="O29" s="5">
        <v>172</v>
      </c>
      <c r="P29" s="5">
        <v>85</v>
      </c>
      <c r="Q29" s="5">
        <v>23617405</v>
      </c>
      <c r="R29" s="5">
        <v>90</v>
      </c>
      <c r="S29" s="5">
        <v>1492669</v>
      </c>
      <c r="T29" s="5">
        <v>85</v>
      </c>
      <c r="U29" t="s">
        <v>60</v>
      </c>
      <c r="V29" s="2">
        <v>88.83</v>
      </c>
      <c r="W29" s="5">
        <f>Top_500_Movies_Ranked_by_Combined_Critics_and_Audience_Scores[[#This Row],[Critic_Rating_RT]]-Top_500_Movies_Ranked_by_Combined_Critics_and_Audience_Scores[[#This Row],[Audience_Rating]]</f>
        <v>4</v>
      </c>
      <c r="X29" s="5">
        <f>FLOOR(Top_500_Movies_Ranked_by_Combined_Critics_and_Audience_Scores[[#This Row],[Year]],10)</f>
        <v>2000</v>
      </c>
    </row>
    <row r="30" spans="1:24" x14ac:dyDescent="0.2">
      <c r="A30" s="3">
        <v>29</v>
      </c>
      <c r="B30" t="s">
        <v>359</v>
      </c>
      <c r="C30" s="5">
        <v>1941</v>
      </c>
      <c r="D30" t="s">
        <v>360</v>
      </c>
      <c r="E30" t="s">
        <v>361</v>
      </c>
      <c r="F30" t="s">
        <v>30</v>
      </c>
      <c r="G30" t="s">
        <v>364</v>
      </c>
      <c r="H30" t="s">
        <v>365</v>
      </c>
      <c r="I30" s="5">
        <v>89</v>
      </c>
      <c r="J30" s="4">
        <v>8.3000000000000007</v>
      </c>
      <c r="K30" s="5">
        <v>83</v>
      </c>
      <c r="L30" s="5">
        <v>478970</v>
      </c>
      <c r="M30" s="5">
        <v>100</v>
      </c>
      <c r="N30" s="5">
        <v>98</v>
      </c>
      <c r="O30" s="5">
        <v>96</v>
      </c>
      <c r="P30" s="5">
        <v>87</v>
      </c>
      <c r="Q30" s="5">
        <v>273099</v>
      </c>
      <c r="R30" s="5">
        <v>84</v>
      </c>
      <c r="S30" s="5">
        <v>499118</v>
      </c>
      <c r="T30" s="5">
        <v>81</v>
      </c>
      <c r="U30" t="s">
        <v>135</v>
      </c>
      <c r="V30" s="2">
        <v>88.83</v>
      </c>
      <c r="W30" s="5">
        <f>Top_500_Movies_Ranked_by_Combined_Critics_and_Audience_Scores[[#This Row],[Critic_Rating_RT]]-Top_500_Movies_Ranked_by_Combined_Critics_and_Audience_Scores[[#This Row],[Audience_Rating]]</f>
        <v>11</v>
      </c>
      <c r="X30" s="5">
        <f>FLOOR(Top_500_Movies_Ranked_by_Combined_Critics_and_Audience_Scores[[#This Row],[Year]],10)</f>
        <v>1940</v>
      </c>
    </row>
    <row r="31" spans="1:24" x14ac:dyDescent="0.2">
      <c r="A31" s="3">
        <v>30</v>
      </c>
      <c r="B31" t="s">
        <v>370</v>
      </c>
      <c r="C31" s="5">
        <v>1927</v>
      </c>
      <c r="D31" t="s">
        <v>371</v>
      </c>
      <c r="E31" t="s">
        <v>372</v>
      </c>
      <c r="F31" t="s">
        <v>374</v>
      </c>
      <c r="G31" t="s">
        <v>376</v>
      </c>
      <c r="H31" t="s">
        <v>33</v>
      </c>
      <c r="I31" s="5">
        <v>88</v>
      </c>
      <c r="J31" s="4">
        <v>8.3000000000000007</v>
      </c>
      <c r="K31" s="5">
        <v>83</v>
      </c>
      <c r="L31" s="5">
        <v>193052</v>
      </c>
      <c r="M31" s="5">
        <v>98</v>
      </c>
      <c r="N31" s="5">
        <v>93</v>
      </c>
      <c r="O31" s="5">
        <v>99</v>
      </c>
      <c r="P31" s="5">
        <v>89</v>
      </c>
      <c r="Q31" s="5">
        <v>108894</v>
      </c>
      <c r="R31" s="5">
        <v>86</v>
      </c>
      <c r="S31" s="5">
        <v>200533</v>
      </c>
      <c r="T31" s="5">
        <v>84</v>
      </c>
      <c r="U31" t="s">
        <v>75</v>
      </c>
      <c r="V31" s="2">
        <v>88.83</v>
      </c>
      <c r="W31" s="5">
        <f>Top_500_Movies_Ranked_by_Combined_Critics_and_Audience_Scores[[#This Row],[Critic_Rating_RT]]-Top_500_Movies_Ranked_by_Combined_Critics_and_Audience_Scores[[#This Row],[Audience_Rating]]</f>
        <v>4</v>
      </c>
      <c r="X31" s="5">
        <f>FLOOR(Top_500_Movies_Ranked_by_Combined_Critics_and_Audience_Scores[[#This Row],[Year]],10)</f>
        <v>1920</v>
      </c>
    </row>
    <row r="32" spans="1:24" x14ac:dyDescent="0.2">
      <c r="A32" s="3">
        <v>31</v>
      </c>
      <c r="B32" t="s">
        <v>381</v>
      </c>
      <c r="C32" s="5">
        <v>1946</v>
      </c>
      <c r="D32" t="s">
        <v>382</v>
      </c>
      <c r="E32" t="s">
        <v>383</v>
      </c>
      <c r="F32" t="s">
        <v>30</v>
      </c>
      <c r="G32" t="s">
        <v>386</v>
      </c>
      <c r="H32" t="s">
        <v>387</v>
      </c>
      <c r="I32" s="5">
        <v>88</v>
      </c>
      <c r="J32" s="4">
        <v>8.6</v>
      </c>
      <c r="K32" s="5">
        <v>86</v>
      </c>
      <c r="L32" s="5">
        <v>524890</v>
      </c>
      <c r="M32" s="5">
        <v>89</v>
      </c>
      <c r="N32" s="5">
        <v>90</v>
      </c>
      <c r="O32" s="5">
        <v>75</v>
      </c>
      <c r="P32" s="5">
        <v>92</v>
      </c>
      <c r="Q32" s="5">
        <v>320749</v>
      </c>
      <c r="R32" s="5">
        <v>88</v>
      </c>
      <c r="S32" s="5">
        <v>522501</v>
      </c>
      <c r="T32" s="5">
        <v>88</v>
      </c>
      <c r="U32" t="s">
        <v>253</v>
      </c>
      <c r="V32" s="2">
        <v>88.83</v>
      </c>
      <c r="W32" s="5">
        <f>Top_500_Movies_Ranked_by_Combined_Critics_and_Audience_Scores[[#This Row],[Critic_Rating_RT]]-Top_500_Movies_Ranked_by_Combined_Critics_and_Audience_Scores[[#This Row],[Audience_Rating]]</f>
        <v>-2</v>
      </c>
      <c r="X32" s="5">
        <f>FLOOR(Top_500_Movies_Ranked_by_Combined_Critics_and_Audience_Scores[[#This Row],[Year]],10)</f>
        <v>1940</v>
      </c>
    </row>
    <row r="33" spans="1:24" x14ac:dyDescent="0.2">
      <c r="A33" s="3">
        <v>32</v>
      </c>
      <c r="B33" t="s">
        <v>392</v>
      </c>
      <c r="C33" s="5">
        <v>1950</v>
      </c>
      <c r="D33" t="s">
        <v>65</v>
      </c>
      <c r="E33" t="s">
        <v>246</v>
      </c>
      <c r="F33" t="s">
        <v>30</v>
      </c>
      <c r="G33" t="s">
        <v>395</v>
      </c>
      <c r="H33" t="s">
        <v>33</v>
      </c>
      <c r="I33" s="5">
        <v>88</v>
      </c>
      <c r="J33" s="4">
        <v>8.4</v>
      </c>
      <c r="K33" s="5">
        <v>84</v>
      </c>
      <c r="L33" s="5">
        <v>247384</v>
      </c>
      <c r="M33" s="5">
        <v>94</v>
      </c>
      <c r="N33" s="5">
        <v>95</v>
      </c>
      <c r="O33" s="5">
        <v>89</v>
      </c>
      <c r="P33" s="5">
        <v>92</v>
      </c>
      <c r="Q33" s="5">
        <v>123301</v>
      </c>
      <c r="R33" s="5">
        <v>88</v>
      </c>
      <c r="S33" s="5">
        <v>262498</v>
      </c>
      <c r="T33" s="5">
        <v>80</v>
      </c>
      <c r="U33" t="s">
        <v>75</v>
      </c>
      <c r="V33" s="2">
        <v>88.83</v>
      </c>
      <c r="W33" s="5">
        <f>Top_500_Movies_Ranked_by_Combined_Critics_and_Audience_Scores[[#This Row],[Critic_Rating_RT]]-Top_500_Movies_Ranked_by_Combined_Critics_and_Audience_Scores[[#This Row],[Audience_Rating]]</f>
        <v>3</v>
      </c>
      <c r="X33" s="5">
        <f>FLOOR(Top_500_Movies_Ranked_by_Combined_Critics_and_Audience_Scores[[#This Row],[Year]],10)</f>
        <v>1950</v>
      </c>
    </row>
    <row r="34" spans="1:24" x14ac:dyDescent="0.2">
      <c r="A34" s="3">
        <v>33</v>
      </c>
      <c r="B34" t="s">
        <v>400</v>
      </c>
      <c r="C34" s="5">
        <v>2001</v>
      </c>
      <c r="D34" t="s">
        <v>348</v>
      </c>
      <c r="E34" t="s">
        <v>349</v>
      </c>
      <c r="F34" t="s">
        <v>30</v>
      </c>
      <c r="G34" t="s">
        <v>402</v>
      </c>
      <c r="H34" t="s">
        <v>353</v>
      </c>
      <c r="I34" s="5">
        <v>87</v>
      </c>
      <c r="J34" s="4">
        <v>8.9</v>
      </c>
      <c r="K34" s="5">
        <v>89</v>
      </c>
      <c r="L34" s="5">
        <v>2094033</v>
      </c>
      <c r="M34" s="5">
        <v>92</v>
      </c>
      <c r="N34" s="5">
        <v>85</v>
      </c>
      <c r="O34" s="5">
        <v>142</v>
      </c>
      <c r="P34" s="5">
        <v>92</v>
      </c>
      <c r="Q34" s="5">
        <v>1546965</v>
      </c>
      <c r="R34" s="5">
        <v>88</v>
      </c>
      <c r="S34" s="5">
        <v>1929394</v>
      </c>
      <c r="T34" s="5">
        <v>86</v>
      </c>
      <c r="U34" t="s">
        <v>60</v>
      </c>
      <c r="V34" s="2">
        <v>88.67</v>
      </c>
      <c r="W34" s="5">
        <f>Top_500_Movies_Ranked_by_Combined_Critics_and_Audience_Scores[[#This Row],[Critic_Rating_RT]]-Top_500_Movies_Ranked_by_Combined_Critics_and_Audience_Scores[[#This Row],[Audience_Rating]]</f>
        <v>-7</v>
      </c>
      <c r="X34" s="5">
        <f>FLOOR(Top_500_Movies_Ranked_by_Combined_Critics_and_Audience_Scores[[#This Row],[Year]],10)</f>
        <v>2000</v>
      </c>
    </row>
    <row r="35" spans="1:24" x14ac:dyDescent="0.2">
      <c r="A35" s="3">
        <v>34</v>
      </c>
      <c r="B35" t="s">
        <v>408</v>
      </c>
      <c r="C35" s="5">
        <v>1959</v>
      </c>
      <c r="D35" t="s">
        <v>409</v>
      </c>
      <c r="E35" t="s">
        <v>103</v>
      </c>
      <c r="F35" t="s">
        <v>30</v>
      </c>
      <c r="G35" t="s">
        <v>412</v>
      </c>
      <c r="H35" t="s">
        <v>413</v>
      </c>
      <c r="I35" s="5">
        <v>88</v>
      </c>
      <c r="J35" s="4">
        <v>8.3000000000000007</v>
      </c>
      <c r="K35" s="5">
        <v>83</v>
      </c>
      <c r="L35" s="5">
        <v>358883</v>
      </c>
      <c r="M35" s="5">
        <v>98</v>
      </c>
      <c r="N35" s="5">
        <v>94</v>
      </c>
      <c r="O35" s="5">
        <v>90</v>
      </c>
      <c r="P35" s="5">
        <v>90</v>
      </c>
      <c r="Q35" s="5">
        <v>142001</v>
      </c>
      <c r="R35" s="5">
        <v>84</v>
      </c>
      <c r="S35" s="5">
        <v>265857</v>
      </c>
      <c r="T35" s="5">
        <v>83</v>
      </c>
      <c r="U35" t="s">
        <v>135</v>
      </c>
      <c r="V35" s="2">
        <v>88.67</v>
      </c>
      <c r="W35" s="5">
        <f>Top_500_Movies_Ranked_by_Combined_Critics_and_Audience_Scores[[#This Row],[Critic_Rating_RT]]-Top_500_Movies_Ranked_by_Combined_Critics_and_Audience_Scores[[#This Row],[Audience_Rating]]</f>
        <v>4</v>
      </c>
      <c r="X35" s="5">
        <f>FLOOR(Top_500_Movies_Ranked_by_Combined_Critics_and_Audience_Scores[[#This Row],[Year]],10)</f>
        <v>1950</v>
      </c>
    </row>
    <row r="36" spans="1:24" x14ac:dyDescent="0.2">
      <c r="A36" s="3">
        <v>35</v>
      </c>
      <c r="B36" t="s">
        <v>418</v>
      </c>
      <c r="C36" s="5">
        <v>1960</v>
      </c>
      <c r="D36" t="s">
        <v>126</v>
      </c>
      <c r="E36" t="s">
        <v>246</v>
      </c>
      <c r="F36" t="s">
        <v>30</v>
      </c>
      <c r="G36" t="s">
        <v>421</v>
      </c>
      <c r="H36" t="s">
        <v>167</v>
      </c>
      <c r="I36" s="5">
        <v>88</v>
      </c>
      <c r="J36" s="4">
        <v>8.3000000000000007</v>
      </c>
      <c r="K36" s="5">
        <v>83</v>
      </c>
      <c r="L36" s="5">
        <v>207527</v>
      </c>
      <c r="M36" s="5">
        <v>94</v>
      </c>
      <c r="N36" s="5">
        <v>90</v>
      </c>
      <c r="O36" s="5">
        <v>93</v>
      </c>
      <c r="P36" s="5">
        <v>91</v>
      </c>
      <c r="Q36" s="5">
        <v>109780</v>
      </c>
      <c r="R36" s="5">
        <v>88</v>
      </c>
      <c r="S36" s="5">
        <v>252510</v>
      </c>
      <c r="T36" s="5">
        <v>86</v>
      </c>
      <c r="U36" t="s">
        <v>75</v>
      </c>
      <c r="V36" s="2">
        <v>88.67</v>
      </c>
      <c r="W36" s="5">
        <f>Top_500_Movies_Ranked_by_Combined_Critics_and_Audience_Scores[[#This Row],[Critic_Rating_RT]]-Top_500_Movies_Ranked_by_Combined_Critics_and_Audience_Scores[[#This Row],[Audience_Rating]]</f>
        <v>-1</v>
      </c>
      <c r="X36" s="5">
        <f>FLOOR(Top_500_Movies_Ranked_by_Combined_Critics_and_Audience_Scores[[#This Row],[Year]],10)</f>
        <v>1960</v>
      </c>
    </row>
    <row r="37" spans="1:24" x14ac:dyDescent="0.2">
      <c r="A37" s="3">
        <v>36</v>
      </c>
      <c r="B37" t="s">
        <v>426</v>
      </c>
      <c r="C37" s="5">
        <v>1975</v>
      </c>
      <c r="D37" t="s">
        <v>65</v>
      </c>
      <c r="E37" t="s">
        <v>4319</v>
      </c>
      <c r="F37" t="s">
        <v>30</v>
      </c>
      <c r="G37" t="s">
        <v>430</v>
      </c>
      <c r="H37" t="s">
        <v>167</v>
      </c>
      <c r="I37" s="5">
        <v>88</v>
      </c>
      <c r="J37" s="4">
        <v>8.6999999999999993</v>
      </c>
      <c r="K37" s="5">
        <v>87</v>
      </c>
      <c r="L37" s="5">
        <v>1110492</v>
      </c>
      <c r="M37" s="5">
        <v>84</v>
      </c>
      <c r="N37" s="5">
        <v>89</v>
      </c>
      <c r="O37" s="5">
        <v>91</v>
      </c>
      <c r="P37" s="5">
        <v>93</v>
      </c>
      <c r="Q37" s="5">
        <v>421045</v>
      </c>
      <c r="R37" s="5">
        <v>88</v>
      </c>
      <c r="S37" s="5">
        <v>702258</v>
      </c>
      <c r="T37" s="5">
        <v>91</v>
      </c>
      <c r="U37" t="s">
        <v>325</v>
      </c>
      <c r="V37" s="2">
        <v>88.67</v>
      </c>
      <c r="W37" s="5">
        <f>Top_500_Movies_Ranked_by_Combined_Critics_and_Audience_Scores[[#This Row],[Critic_Rating_RT]]-Top_500_Movies_Ranked_by_Combined_Critics_and_Audience_Scores[[#This Row],[Audience_Rating]]</f>
        <v>-4</v>
      </c>
      <c r="X37" s="5">
        <f>FLOOR(Top_500_Movies_Ranked_by_Combined_Critics_and_Audience_Scores[[#This Row],[Year]],10)</f>
        <v>1970</v>
      </c>
    </row>
    <row r="38" spans="1:24" x14ac:dyDescent="0.2">
      <c r="A38" s="3">
        <v>37</v>
      </c>
      <c r="B38" t="s">
        <v>435</v>
      </c>
      <c r="C38" s="5">
        <v>1980</v>
      </c>
      <c r="D38" t="s">
        <v>436</v>
      </c>
      <c r="E38" t="s">
        <v>437</v>
      </c>
      <c r="F38" t="s">
        <v>30</v>
      </c>
      <c r="G38" t="s">
        <v>440</v>
      </c>
      <c r="H38" t="s">
        <v>441</v>
      </c>
      <c r="I38" s="5">
        <v>88</v>
      </c>
      <c r="J38" s="4">
        <v>8.6999999999999993</v>
      </c>
      <c r="K38" s="5">
        <v>87</v>
      </c>
      <c r="L38" s="5">
        <v>1431491</v>
      </c>
      <c r="M38" s="5">
        <v>82</v>
      </c>
      <c r="N38" s="5">
        <v>88</v>
      </c>
      <c r="O38" s="5">
        <v>81</v>
      </c>
      <c r="P38" s="5">
        <v>93</v>
      </c>
      <c r="Q38" s="5">
        <v>1214408</v>
      </c>
      <c r="R38" s="5">
        <v>88</v>
      </c>
      <c r="S38" s="5">
        <v>1521674</v>
      </c>
      <c r="T38" s="5">
        <v>94</v>
      </c>
      <c r="U38" t="s">
        <v>444</v>
      </c>
      <c r="V38" s="2">
        <v>88.67</v>
      </c>
      <c r="W38" s="5">
        <f>Top_500_Movies_Ranked_by_Combined_Critics_and_Audience_Scores[[#This Row],[Critic_Rating_RT]]-Top_500_Movies_Ranked_by_Combined_Critics_and_Audience_Scores[[#This Row],[Audience_Rating]]</f>
        <v>-5</v>
      </c>
      <c r="X38" s="5">
        <f>FLOOR(Top_500_Movies_Ranked_by_Combined_Critics_and_Audience_Scores[[#This Row],[Year]],10)</f>
        <v>1980</v>
      </c>
    </row>
    <row r="39" spans="1:24" x14ac:dyDescent="0.2">
      <c r="A39" s="3">
        <v>38</v>
      </c>
      <c r="B39" t="s">
        <v>447</v>
      </c>
      <c r="C39" s="5">
        <v>2014</v>
      </c>
      <c r="D39" t="s">
        <v>448</v>
      </c>
      <c r="E39" t="s">
        <v>449</v>
      </c>
      <c r="F39" t="s">
        <v>30</v>
      </c>
      <c r="G39" t="s">
        <v>452</v>
      </c>
      <c r="H39" t="s">
        <v>335</v>
      </c>
      <c r="I39" s="5">
        <v>88</v>
      </c>
      <c r="J39" s="4">
        <v>8.5</v>
      </c>
      <c r="K39" s="5">
        <v>85</v>
      </c>
      <c r="L39" s="5">
        <v>1063607</v>
      </c>
      <c r="M39" s="5">
        <v>89</v>
      </c>
      <c r="N39" s="5">
        <v>87</v>
      </c>
      <c r="O39" s="5">
        <v>231</v>
      </c>
      <c r="P39" s="5">
        <v>91</v>
      </c>
      <c r="Q39" s="5">
        <v>1025887</v>
      </c>
      <c r="R39" s="5">
        <v>88</v>
      </c>
      <c r="S39" s="5">
        <v>2932518</v>
      </c>
      <c r="T39" s="5">
        <v>92</v>
      </c>
      <c r="U39" t="s">
        <v>75</v>
      </c>
      <c r="V39" s="2">
        <v>88.67</v>
      </c>
      <c r="W39" s="5">
        <f>Top_500_Movies_Ranked_by_Combined_Critics_and_Audience_Scores[[#This Row],[Critic_Rating_RT]]-Top_500_Movies_Ranked_by_Combined_Critics_and_Audience_Scores[[#This Row],[Audience_Rating]]</f>
        <v>-4</v>
      </c>
      <c r="X39" s="5">
        <f>FLOOR(Top_500_Movies_Ranked_by_Combined_Critics_and_Audience_Scores[[#This Row],[Year]],10)</f>
        <v>2010</v>
      </c>
    </row>
    <row r="40" spans="1:24" x14ac:dyDescent="0.2">
      <c r="A40" s="3">
        <v>39</v>
      </c>
      <c r="B40" t="s">
        <v>457</v>
      </c>
      <c r="C40" s="5">
        <v>1958</v>
      </c>
      <c r="D40" t="s">
        <v>458</v>
      </c>
      <c r="E40" t="s">
        <v>103</v>
      </c>
      <c r="F40" t="s">
        <v>30</v>
      </c>
      <c r="G40" t="s">
        <v>461</v>
      </c>
      <c r="H40" t="s">
        <v>33</v>
      </c>
      <c r="I40" s="5">
        <v>88</v>
      </c>
      <c r="J40" s="4">
        <v>8.3000000000000007</v>
      </c>
      <c r="K40" s="5">
        <v>83</v>
      </c>
      <c r="L40" s="5">
        <v>442662</v>
      </c>
      <c r="M40" s="5">
        <v>100</v>
      </c>
      <c r="N40" s="5">
        <v>92</v>
      </c>
      <c r="O40" s="5">
        <v>78</v>
      </c>
      <c r="P40" s="5">
        <v>90</v>
      </c>
      <c r="Q40" s="5">
        <v>267419</v>
      </c>
      <c r="R40" s="5">
        <v>84</v>
      </c>
      <c r="S40" s="5">
        <v>596103</v>
      </c>
      <c r="T40" s="5">
        <v>83</v>
      </c>
      <c r="U40" t="s">
        <v>75</v>
      </c>
      <c r="V40" s="2">
        <v>88.67</v>
      </c>
      <c r="W40" s="5">
        <f>Top_500_Movies_Ranked_by_Combined_Critics_and_Audience_Scores[[#This Row],[Critic_Rating_RT]]-Top_500_Movies_Ranked_by_Combined_Critics_and_Audience_Scores[[#This Row],[Audience_Rating]]</f>
        <v>2</v>
      </c>
      <c r="X40" s="5">
        <f>FLOOR(Top_500_Movies_Ranked_by_Combined_Critics_and_Audience_Scores[[#This Row],[Year]],10)</f>
        <v>1950</v>
      </c>
    </row>
    <row r="41" spans="1:24" x14ac:dyDescent="0.2">
      <c r="A41" s="3">
        <v>40</v>
      </c>
      <c r="B41" t="s">
        <v>466</v>
      </c>
      <c r="C41" s="5">
        <v>1948</v>
      </c>
      <c r="D41" t="s">
        <v>65</v>
      </c>
      <c r="E41" t="s">
        <v>467</v>
      </c>
      <c r="F41" t="s">
        <v>189</v>
      </c>
      <c r="G41" t="s">
        <v>470</v>
      </c>
      <c r="H41" t="s">
        <v>471</v>
      </c>
      <c r="I41" s="5">
        <v>87</v>
      </c>
      <c r="J41" s="4">
        <v>8.1999999999999993</v>
      </c>
      <c r="K41" s="5">
        <v>82</v>
      </c>
      <c r="L41" s="5">
        <v>184016</v>
      </c>
      <c r="N41" s="5">
        <v>93</v>
      </c>
      <c r="O41" s="5">
        <v>58</v>
      </c>
      <c r="P41" s="5">
        <v>91</v>
      </c>
      <c r="Q41" s="5">
        <v>93336</v>
      </c>
      <c r="R41" s="5">
        <v>86</v>
      </c>
      <c r="S41" s="5">
        <v>211270</v>
      </c>
      <c r="T41" s="5">
        <v>91</v>
      </c>
      <c r="U41" t="s">
        <v>135</v>
      </c>
      <c r="V41" s="2">
        <v>88.6</v>
      </c>
      <c r="W41" s="5">
        <f>Top_500_Movies_Ranked_by_Combined_Critics_and_Audience_Scores[[#This Row],[Critic_Rating_RT]]-Top_500_Movies_Ranked_by_Combined_Critics_and_Audience_Scores[[#This Row],[Audience_Rating]]</f>
        <v>2</v>
      </c>
      <c r="X41" s="5">
        <f>FLOOR(Top_500_Movies_Ranked_by_Combined_Critics_and_Audience_Scores[[#This Row],[Year]],10)</f>
        <v>1940</v>
      </c>
    </row>
    <row r="42" spans="1:24" x14ac:dyDescent="0.2">
      <c r="A42" s="3">
        <v>41</v>
      </c>
      <c r="B42" t="s">
        <v>477</v>
      </c>
      <c r="C42" s="5">
        <v>1985</v>
      </c>
      <c r="D42" t="s">
        <v>478</v>
      </c>
      <c r="E42" t="s">
        <v>48</v>
      </c>
      <c r="F42" t="s">
        <v>50</v>
      </c>
      <c r="G42" t="s">
        <v>481</v>
      </c>
      <c r="H42" t="s">
        <v>227</v>
      </c>
      <c r="I42" s="5">
        <v>88</v>
      </c>
      <c r="J42" s="4">
        <v>8.1999999999999993</v>
      </c>
      <c r="K42" s="5">
        <v>82</v>
      </c>
      <c r="L42" s="5">
        <v>142429</v>
      </c>
      <c r="M42" s="5">
        <v>97</v>
      </c>
      <c r="N42" s="5">
        <v>92</v>
      </c>
      <c r="O42" s="5">
        <v>73</v>
      </c>
      <c r="P42" s="5">
        <v>91</v>
      </c>
      <c r="Q42" s="5">
        <v>80147</v>
      </c>
      <c r="R42" s="5">
        <v>90</v>
      </c>
      <c r="S42" s="5">
        <v>163420</v>
      </c>
      <c r="T42" s="5">
        <v>79</v>
      </c>
      <c r="U42" t="s">
        <v>75</v>
      </c>
      <c r="V42" s="2">
        <v>88.5</v>
      </c>
      <c r="W42" s="5">
        <f>Top_500_Movies_Ranked_by_Combined_Critics_and_Audience_Scores[[#This Row],[Critic_Rating_RT]]-Top_500_Movies_Ranked_by_Combined_Critics_and_Audience_Scores[[#This Row],[Audience_Rating]]</f>
        <v>1</v>
      </c>
      <c r="X42" s="5">
        <f>FLOOR(Top_500_Movies_Ranked_by_Combined_Critics_and_Audience_Scores[[#This Row],[Year]],10)</f>
        <v>1980</v>
      </c>
    </row>
    <row r="43" spans="1:24" x14ac:dyDescent="0.2">
      <c r="A43" s="3">
        <v>42</v>
      </c>
      <c r="B43" t="s">
        <v>488</v>
      </c>
      <c r="C43" s="5">
        <v>2006</v>
      </c>
      <c r="D43" t="s">
        <v>489</v>
      </c>
      <c r="E43" t="s">
        <v>490</v>
      </c>
      <c r="F43" t="s">
        <v>492</v>
      </c>
      <c r="G43" t="s">
        <v>494</v>
      </c>
      <c r="H43" t="s">
        <v>495</v>
      </c>
      <c r="I43" s="5">
        <v>88</v>
      </c>
      <c r="J43" s="4">
        <v>8.1999999999999993</v>
      </c>
      <c r="K43" s="5">
        <v>82</v>
      </c>
      <c r="L43" s="5">
        <v>721982</v>
      </c>
      <c r="M43" s="5">
        <v>98</v>
      </c>
      <c r="N43" s="5">
        <v>89</v>
      </c>
      <c r="O43" s="5">
        <v>164</v>
      </c>
      <c r="P43" s="5">
        <v>87</v>
      </c>
      <c r="Q43" s="5">
        <v>672087</v>
      </c>
      <c r="R43" s="5">
        <v>84</v>
      </c>
      <c r="S43" s="5">
        <v>741536</v>
      </c>
      <c r="T43" s="5">
        <v>91</v>
      </c>
      <c r="U43" t="s">
        <v>75</v>
      </c>
      <c r="V43" s="2">
        <v>88.5</v>
      </c>
      <c r="W43" s="5">
        <f>Top_500_Movies_Ranked_by_Combined_Critics_and_Audience_Scores[[#This Row],[Critic_Rating_RT]]-Top_500_Movies_Ranked_by_Combined_Critics_and_Audience_Scores[[#This Row],[Audience_Rating]]</f>
        <v>2</v>
      </c>
      <c r="X43" s="5">
        <f>FLOOR(Top_500_Movies_Ranked_by_Combined_Critics_and_Audience_Scores[[#This Row],[Year]],10)</f>
        <v>2000</v>
      </c>
    </row>
    <row r="44" spans="1:24" x14ac:dyDescent="0.2">
      <c r="A44" s="3">
        <v>43</v>
      </c>
      <c r="B44" t="s">
        <v>500</v>
      </c>
      <c r="C44" s="5">
        <v>1949</v>
      </c>
      <c r="D44" t="s">
        <v>102</v>
      </c>
      <c r="E44" t="s">
        <v>501</v>
      </c>
      <c r="F44" t="s">
        <v>30</v>
      </c>
      <c r="G44" t="s">
        <v>504</v>
      </c>
      <c r="H44" t="s">
        <v>227</v>
      </c>
      <c r="I44" s="5">
        <v>88</v>
      </c>
      <c r="J44" s="4">
        <v>8.1</v>
      </c>
      <c r="K44" s="5">
        <v>81</v>
      </c>
      <c r="L44" s="5">
        <v>188727</v>
      </c>
      <c r="M44" s="5">
        <v>97</v>
      </c>
      <c r="N44" s="5">
        <v>95</v>
      </c>
      <c r="O44" s="5">
        <v>81</v>
      </c>
      <c r="P44" s="5">
        <v>89</v>
      </c>
      <c r="Q44" s="5">
        <v>86513</v>
      </c>
      <c r="R44" s="5">
        <v>86</v>
      </c>
      <c r="S44" s="5">
        <v>151068</v>
      </c>
      <c r="T44" s="5">
        <v>83</v>
      </c>
      <c r="U44" t="s">
        <v>253</v>
      </c>
      <c r="V44" s="2">
        <v>88.5</v>
      </c>
      <c r="W44" s="5">
        <f>Top_500_Movies_Ranked_by_Combined_Critics_and_Audience_Scores[[#This Row],[Critic_Rating_RT]]-Top_500_Movies_Ranked_by_Combined_Critics_and_Audience_Scores[[#This Row],[Audience_Rating]]</f>
        <v>6</v>
      </c>
      <c r="X44" s="5">
        <f>FLOOR(Top_500_Movies_Ranked_by_Combined_Critics_and_Audience_Scores[[#This Row],[Year]],10)</f>
        <v>1940</v>
      </c>
    </row>
    <row r="45" spans="1:24" x14ac:dyDescent="0.2">
      <c r="A45" s="3">
        <v>44</v>
      </c>
      <c r="B45" t="s">
        <v>509</v>
      </c>
      <c r="C45" s="5">
        <v>1977</v>
      </c>
      <c r="D45" t="s">
        <v>436</v>
      </c>
      <c r="E45" t="s">
        <v>510</v>
      </c>
      <c r="F45" t="s">
        <v>30</v>
      </c>
      <c r="G45" t="s">
        <v>513</v>
      </c>
      <c r="H45" t="s">
        <v>312</v>
      </c>
      <c r="I45" s="5">
        <v>88</v>
      </c>
      <c r="J45" s="4">
        <v>8.6</v>
      </c>
      <c r="K45" s="5">
        <v>86</v>
      </c>
      <c r="L45" s="5">
        <v>1498734</v>
      </c>
      <c r="M45" s="5">
        <v>90</v>
      </c>
      <c r="N45" s="5">
        <v>89</v>
      </c>
      <c r="O45" s="5">
        <v>99</v>
      </c>
      <c r="P45" s="5">
        <v>92</v>
      </c>
      <c r="Q45" s="5">
        <v>1163061</v>
      </c>
      <c r="R45" s="5">
        <v>84</v>
      </c>
      <c r="S45" s="5">
        <v>1758149</v>
      </c>
      <c r="T45" s="5">
        <v>90</v>
      </c>
      <c r="U45" t="s">
        <v>444</v>
      </c>
      <c r="V45" s="2">
        <v>88.5</v>
      </c>
      <c r="W45" s="5">
        <f>Top_500_Movies_Ranked_by_Combined_Critics_and_Audience_Scores[[#This Row],[Critic_Rating_RT]]-Top_500_Movies_Ranked_by_Combined_Critics_and_Audience_Scores[[#This Row],[Audience_Rating]]</f>
        <v>-3</v>
      </c>
      <c r="X45" s="5">
        <f>FLOOR(Top_500_Movies_Ranked_by_Combined_Critics_and_Audience_Scores[[#This Row],[Year]],10)</f>
        <v>1970</v>
      </c>
    </row>
    <row r="46" spans="1:24" x14ac:dyDescent="0.2">
      <c r="A46" s="3">
        <v>45</v>
      </c>
      <c r="B46" t="s">
        <v>518</v>
      </c>
      <c r="C46" s="5">
        <v>2013</v>
      </c>
      <c r="D46" t="s">
        <v>519</v>
      </c>
      <c r="E46" t="s">
        <v>520</v>
      </c>
      <c r="F46" t="s">
        <v>30</v>
      </c>
      <c r="G46" t="s">
        <v>4317</v>
      </c>
      <c r="H46" t="s">
        <v>4317</v>
      </c>
      <c r="I46" s="5">
        <v>88</v>
      </c>
      <c r="J46" s="4">
        <v>8.1</v>
      </c>
      <c r="K46" s="5">
        <v>81</v>
      </c>
      <c r="L46" s="5">
        <v>761724</v>
      </c>
      <c r="M46" s="5">
        <v>96</v>
      </c>
      <c r="N46" s="5">
        <v>91</v>
      </c>
      <c r="O46" s="5">
        <v>244</v>
      </c>
      <c r="P46" s="5">
        <v>87</v>
      </c>
      <c r="Q46" s="5">
        <v>278959</v>
      </c>
      <c r="R46" s="5">
        <v>84</v>
      </c>
      <c r="S46" s="5">
        <v>554833</v>
      </c>
      <c r="T46" s="5">
        <v>91</v>
      </c>
      <c r="U46" t="s">
        <v>135</v>
      </c>
      <c r="V46" s="2">
        <v>88.33</v>
      </c>
      <c r="W46" s="5">
        <f>Top_500_Movies_Ranked_by_Combined_Critics_and_Audience_Scores[[#This Row],[Critic_Rating_RT]]-Top_500_Movies_Ranked_by_Combined_Critics_and_Audience_Scores[[#This Row],[Audience_Rating]]</f>
        <v>4</v>
      </c>
      <c r="X46" s="5">
        <f>FLOOR(Top_500_Movies_Ranked_by_Combined_Critics_and_Audience_Scores[[#This Row],[Year]],10)</f>
        <v>2010</v>
      </c>
    </row>
    <row r="47" spans="1:24" x14ac:dyDescent="0.2">
      <c r="A47" s="3">
        <v>46</v>
      </c>
      <c r="B47" t="s">
        <v>528</v>
      </c>
      <c r="C47" s="5">
        <v>1998</v>
      </c>
      <c r="D47" t="s">
        <v>80</v>
      </c>
      <c r="E47" t="s">
        <v>81</v>
      </c>
      <c r="F47" t="s">
        <v>30</v>
      </c>
      <c r="G47" t="s">
        <v>531</v>
      </c>
      <c r="H47" t="s">
        <v>33</v>
      </c>
      <c r="I47" s="5">
        <v>88</v>
      </c>
      <c r="J47" s="4">
        <v>8.6</v>
      </c>
      <c r="K47" s="5">
        <v>86</v>
      </c>
      <c r="L47" s="5">
        <v>1559687</v>
      </c>
      <c r="M47" s="5">
        <v>91</v>
      </c>
      <c r="N47" s="5">
        <v>87</v>
      </c>
      <c r="O47" s="5">
        <v>91</v>
      </c>
      <c r="P47" s="5">
        <v>91</v>
      </c>
      <c r="Q47" s="5">
        <v>1004841</v>
      </c>
      <c r="R47" s="5">
        <v>84</v>
      </c>
      <c r="S47" s="5">
        <v>1024759</v>
      </c>
      <c r="T47" s="5">
        <v>91</v>
      </c>
      <c r="U47" t="s">
        <v>534</v>
      </c>
      <c r="V47" s="2">
        <v>88.33</v>
      </c>
      <c r="W47" s="5">
        <f>Top_500_Movies_Ranked_by_Combined_Critics_and_Audience_Scores[[#This Row],[Critic_Rating_RT]]-Top_500_Movies_Ranked_by_Combined_Critics_and_Audience_Scores[[#This Row],[Audience_Rating]]</f>
        <v>-4</v>
      </c>
      <c r="X47" s="5">
        <f>FLOOR(Top_500_Movies_Ranked_by_Combined_Critics_and_Audience_Scores[[#This Row],[Year]],10)</f>
        <v>1990</v>
      </c>
    </row>
    <row r="48" spans="1:24" x14ac:dyDescent="0.2">
      <c r="A48" s="3">
        <v>47</v>
      </c>
      <c r="B48" t="s">
        <v>4320</v>
      </c>
      <c r="C48" s="5">
        <v>2008</v>
      </c>
      <c r="D48" t="s">
        <v>538</v>
      </c>
      <c r="E48" t="s">
        <v>539</v>
      </c>
      <c r="F48" t="s">
        <v>30</v>
      </c>
      <c r="G48" t="s">
        <v>542</v>
      </c>
      <c r="H48" t="s">
        <v>145</v>
      </c>
      <c r="I48" s="5">
        <v>88</v>
      </c>
      <c r="J48" s="4">
        <v>8.4</v>
      </c>
      <c r="K48" s="5">
        <v>84</v>
      </c>
      <c r="L48" s="5">
        <v>1252363</v>
      </c>
      <c r="M48" s="5">
        <v>95</v>
      </c>
      <c r="N48" s="5">
        <v>88</v>
      </c>
      <c r="O48" s="5">
        <v>152</v>
      </c>
      <c r="P48" s="5">
        <v>87</v>
      </c>
      <c r="Q48" s="5">
        <v>1014430</v>
      </c>
      <c r="R48" s="5">
        <v>84</v>
      </c>
      <c r="S48" s="5">
        <v>1843873</v>
      </c>
      <c r="T48" s="5">
        <v>92</v>
      </c>
      <c r="U48" t="s">
        <v>444</v>
      </c>
      <c r="V48" s="2">
        <v>88.33</v>
      </c>
      <c r="W48" s="5">
        <f>Top_500_Movies_Ranked_by_Combined_Critics_and_Audience_Scores[[#This Row],[Critic_Rating_RT]]-Top_500_Movies_Ranked_by_Combined_Critics_and_Audience_Scores[[#This Row],[Audience_Rating]]</f>
        <v>1</v>
      </c>
      <c r="X48" s="5">
        <f>FLOOR(Top_500_Movies_Ranked_by_Combined_Critics_and_Audience_Scores[[#This Row],[Year]],10)</f>
        <v>2000</v>
      </c>
    </row>
    <row r="49" spans="1:24" x14ac:dyDescent="0.2">
      <c r="A49" s="3">
        <v>48</v>
      </c>
      <c r="B49" t="s">
        <v>547</v>
      </c>
      <c r="C49" s="5">
        <v>1979</v>
      </c>
      <c r="D49" t="s">
        <v>548</v>
      </c>
      <c r="E49" t="s">
        <v>549</v>
      </c>
      <c r="F49" t="s">
        <v>30</v>
      </c>
      <c r="G49" t="s">
        <v>552</v>
      </c>
      <c r="H49" t="s">
        <v>312</v>
      </c>
      <c r="I49" s="5">
        <v>88</v>
      </c>
      <c r="J49" s="4">
        <v>8.5</v>
      </c>
      <c r="K49" s="5">
        <v>85</v>
      </c>
      <c r="L49" s="5">
        <v>1009344</v>
      </c>
      <c r="M49" s="5">
        <v>89</v>
      </c>
      <c r="N49" s="5">
        <v>91</v>
      </c>
      <c r="O49" s="5">
        <v>139</v>
      </c>
      <c r="P49" s="5">
        <v>91</v>
      </c>
      <c r="Q49" s="5">
        <v>764014</v>
      </c>
      <c r="R49" s="5">
        <v>86</v>
      </c>
      <c r="S49" s="5">
        <v>1368049</v>
      </c>
      <c r="T49" s="5">
        <v>88</v>
      </c>
      <c r="U49" t="s">
        <v>555</v>
      </c>
      <c r="V49" s="2">
        <v>88.33</v>
      </c>
      <c r="W49" s="5">
        <f>Top_500_Movies_Ranked_by_Combined_Critics_and_Audience_Scores[[#This Row],[Critic_Rating_RT]]-Top_500_Movies_Ranked_by_Combined_Critics_and_Audience_Scores[[#This Row],[Audience_Rating]]</f>
        <v>0</v>
      </c>
      <c r="X49" s="5">
        <f>FLOOR(Top_500_Movies_Ranked_by_Combined_Critics_and_Audience_Scores[[#This Row],[Year]],10)</f>
        <v>1970</v>
      </c>
    </row>
    <row r="50" spans="1:24" x14ac:dyDescent="0.2">
      <c r="A50" s="3">
        <v>49</v>
      </c>
      <c r="B50" t="s">
        <v>558</v>
      </c>
      <c r="C50" s="5">
        <v>1959</v>
      </c>
      <c r="D50" t="s">
        <v>65</v>
      </c>
      <c r="E50" t="s">
        <v>4321</v>
      </c>
      <c r="F50" t="s">
        <v>321</v>
      </c>
      <c r="G50" t="s">
        <v>562</v>
      </c>
      <c r="H50" t="s">
        <v>563</v>
      </c>
      <c r="I50" s="5">
        <v>87</v>
      </c>
      <c r="J50" s="4">
        <v>8</v>
      </c>
      <c r="K50" s="5">
        <v>80</v>
      </c>
      <c r="L50" s="5">
        <v>131044</v>
      </c>
      <c r="N50" s="5">
        <v>95</v>
      </c>
      <c r="O50" s="5">
        <v>66</v>
      </c>
      <c r="P50" s="5">
        <v>90</v>
      </c>
      <c r="Q50" s="5">
        <v>98670</v>
      </c>
      <c r="R50" s="5">
        <v>86</v>
      </c>
      <c r="S50" s="5">
        <v>218210</v>
      </c>
      <c r="T50" s="5">
        <v>90</v>
      </c>
      <c r="U50" t="s">
        <v>135</v>
      </c>
      <c r="V50" s="2">
        <v>88.2</v>
      </c>
      <c r="W50" s="5">
        <f>Top_500_Movies_Ranked_by_Combined_Critics_and_Audience_Scores[[#This Row],[Critic_Rating_RT]]-Top_500_Movies_Ranked_by_Combined_Critics_and_Audience_Scores[[#This Row],[Audience_Rating]]</f>
        <v>5</v>
      </c>
      <c r="X50" s="5">
        <f>FLOOR(Top_500_Movies_Ranked_by_Combined_Critics_and_Audience_Scores[[#This Row],[Year]],10)</f>
        <v>1950</v>
      </c>
    </row>
    <row r="51" spans="1:24" x14ac:dyDescent="0.2">
      <c r="A51" s="3">
        <v>50</v>
      </c>
      <c r="B51" t="s">
        <v>570</v>
      </c>
      <c r="C51" s="5">
        <v>1991</v>
      </c>
      <c r="D51" t="s">
        <v>571</v>
      </c>
      <c r="E51" t="s">
        <v>572</v>
      </c>
      <c r="F51" t="s">
        <v>30</v>
      </c>
      <c r="G51" t="s">
        <v>575</v>
      </c>
      <c r="H51" t="s">
        <v>576</v>
      </c>
      <c r="I51" s="5">
        <v>87</v>
      </c>
      <c r="J51" s="4">
        <v>8.6</v>
      </c>
      <c r="K51" s="5">
        <v>86</v>
      </c>
      <c r="L51" s="5">
        <v>1622286</v>
      </c>
      <c r="M51" s="5">
        <v>86</v>
      </c>
      <c r="N51" s="5">
        <v>88</v>
      </c>
      <c r="O51" s="5">
        <v>112</v>
      </c>
      <c r="P51" s="5">
        <v>92</v>
      </c>
      <c r="Q51" s="5">
        <v>1226259</v>
      </c>
      <c r="R51" s="5">
        <v>86</v>
      </c>
      <c r="S51" s="5">
        <v>1981219</v>
      </c>
      <c r="T51" s="5">
        <v>91</v>
      </c>
      <c r="U51" t="s">
        <v>75</v>
      </c>
      <c r="V51" s="2">
        <v>88.17</v>
      </c>
      <c r="W51" s="5">
        <f>Top_500_Movies_Ranked_by_Combined_Critics_and_Audience_Scores[[#This Row],[Critic_Rating_RT]]-Top_500_Movies_Ranked_by_Combined_Critics_and_Audience_Scores[[#This Row],[Audience_Rating]]</f>
        <v>-4</v>
      </c>
      <c r="X51" s="5">
        <f>FLOOR(Top_500_Movies_Ranked_by_Combined_Critics_and_Audience_Scores[[#This Row],[Year]],10)</f>
        <v>1990</v>
      </c>
    </row>
    <row r="52" spans="1:24" x14ac:dyDescent="0.2">
      <c r="A52" s="3">
        <v>51</v>
      </c>
      <c r="B52" t="s">
        <v>582</v>
      </c>
      <c r="C52" s="5">
        <v>1985</v>
      </c>
      <c r="D52" t="s">
        <v>583</v>
      </c>
      <c r="E52" t="s">
        <v>584</v>
      </c>
      <c r="F52" t="s">
        <v>30</v>
      </c>
      <c r="G52" t="s">
        <v>587</v>
      </c>
      <c r="H52" t="s">
        <v>85</v>
      </c>
      <c r="I52" s="5">
        <v>88</v>
      </c>
      <c r="J52" s="4">
        <v>8.5</v>
      </c>
      <c r="K52" s="5">
        <v>85</v>
      </c>
      <c r="L52" s="5">
        <v>1367504</v>
      </c>
      <c r="M52" s="5">
        <v>87</v>
      </c>
      <c r="N52" s="5">
        <v>89</v>
      </c>
      <c r="O52" s="5">
        <v>79</v>
      </c>
      <c r="P52" s="5">
        <v>91</v>
      </c>
      <c r="Q52" s="5">
        <v>1322805</v>
      </c>
      <c r="R52" s="5">
        <v>84</v>
      </c>
      <c r="S52" s="5">
        <v>1773760</v>
      </c>
      <c r="T52" s="5">
        <v>93</v>
      </c>
      <c r="U52" t="s">
        <v>75</v>
      </c>
      <c r="V52" s="2">
        <v>88.17</v>
      </c>
      <c r="W52" s="5">
        <f>Top_500_Movies_Ranked_by_Combined_Critics_and_Audience_Scores[[#This Row],[Critic_Rating_RT]]-Top_500_Movies_Ranked_by_Combined_Critics_and_Audience_Scores[[#This Row],[Audience_Rating]]</f>
        <v>-2</v>
      </c>
      <c r="X52" s="5">
        <f>FLOOR(Top_500_Movies_Ranked_by_Combined_Critics_and_Audience_Scores[[#This Row],[Year]],10)</f>
        <v>1980</v>
      </c>
    </row>
    <row r="53" spans="1:24" x14ac:dyDescent="0.2">
      <c r="A53" s="3">
        <v>52</v>
      </c>
      <c r="B53" t="s">
        <v>592</v>
      </c>
      <c r="C53" s="5">
        <v>1976</v>
      </c>
      <c r="D53" t="s">
        <v>593</v>
      </c>
      <c r="E53" t="s">
        <v>174</v>
      </c>
      <c r="F53" t="s">
        <v>30</v>
      </c>
      <c r="G53" t="s">
        <v>596</v>
      </c>
      <c r="H53" t="s">
        <v>53</v>
      </c>
      <c r="I53" s="5">
        <v>87</v>
      </c>
      <c r="J53" s="4">
        <v>8.1999999999999993</v>
      </c>
      <c r="K53" s="5">
        <v>82</v>
      </c>
      <c r="L53" s="5">
        <v>970967</v>
      </c>
      <c r="M53" s="5">
        <v>94</v>
      </c>
      <c r="N53" s="5">
        <v>92</v>
      </c>
      <c r="O53" s="5">
        <v>103</v>
      </c>
      <c r="P53" s="5">
        <v>90</v>
      </c>
      <c r="Q53" s="5">
        <v>719732</v>
      </c>
      <c r="R53" s="5">
        <v>82</v>
      </c>
      <c r="S53" s="5">
        <v>1635079</v>
      </c>
      <c r="T53" s="5">
        <v>88</v>
      </c>
      <c r="U53" t="s">
        <v>75</v>
      </c>
      <c r="V53" s="2">
        <v>88</v>
      </c>
      <c r="W53" s="5">
        <f>Top_500_Movies_Ranked_by_Combined_Critics_and_Audience_Scores[[#This Row],[Critic_Rating_RT]]-Top_500_Movies_Ranked_by_Combined_Critics_and_Audience_Scores[[#This Row],[Audience_Rating]]</f>
        <v>2</v>
      </c>
      <c r="X53" s="5">
        <f>FLOOR(Top_500_Movies_Ranked_by_Combined_Critics_and_Audience_Scores[[#This Row],[Year]],10)</f>
        <v>1970</v>
      </c>
    </row>
    <row r="54" spans="1:24" x14ac:dyDescent="0.2">
      <c r="A54" s="3">
        <v>53</v>
      </c>
      <c r="B54" t="s">
        <v>601</v>
      </c>
      <c r="C54" s="5">
        <v>1958</v>
      </c>
      <c r="D54" t="s">
        <v>602</v>
      </c>
      <c r="E54" t="s">
        <v>361</v>
      </c>
      <c r="F54" t="s">
        <v>30</v>
      </c>
      <c r="G54" t="s">
        <v>4317</v>
      </c>
      <c r="H54" t="s">
        <v>4317</v>
      </c>
      <c r="I54" s="5">
        <v>87</v>
      </c>
      <c r="J54" s="4">
        <v>7.9</v>
      </c>
      <c r="K54" s="5">
        <v>79</v>
      </c>
      <c r="L54" s="5">
        <v>112253</v>
      </c>
      <c r="M54" s="5">
        <v>99</v>
      </c>
      <c r="N54" s="5">
        <v>92</v>
      </c>
      <c r="O54" s="5">
        <v>64</v>
      </c>
      <c r="P54" s="5">
        <v>88</v>
      </c>
      <c r="Q54" s="5">
        <v>49794</v>
      </c>
      <c r="R54" s="5">
        <v>84</v>
      </c>
      <c r="S54" s="5">
        <v>86695</v>
      </c>
      <c r="T54" s="5">
        <v>86</v>
      </c>
      <c r="U54" t="s">
        <v>75</v>
      </c>
      <c r="V54" s="2">
        <v>88</v>
      </c>
      <c r="W54" s="5">
        <f>Top_500_Movies_Ranked_by_Combined_Critics_and_Audience_Scores[[#This Row],[Critic_Rating_RT]]-Top_500_Movies_Ranked_by_Combined_Critics_and_Audience_Scores[[#This Row],[Audience_Rating]]</f>
        <v>4</v>
      </c>
      <c r="X54" s="5">
        <f>FLOOR(Top_500_Movies_Ranked_by_Combined_Critics_and_Audience_Scores[[#This Row],[Year]],10)</f>
        <v>1950</v>
      </c>
    </row>
    <row r="55" spans="1:24" x14ac:dyDescent="0.2">
      <c r="A55" s="3">
        <v>54</v>
      </c>
      <c r="B55" t="s">
        <v>609</v>
      </c>
      <c r="C55" s="5">
        <v>2002</v>
      </c>
      <c r="D55" t="s">
        <v>267</v>
      </c>
      <c r="E55" t="s">
        <v>610</v>
      </c>
      <c r="F55" t="s">
        <v>30</v>
      </c>
      <c r="G55" t="s">
        <v>613</v>
      </c>
      <c r="H55" t="s">
        <v>614</v>
      </c>
      <c r="I55" s="5">
        <v>87</v>
      </c>
      <c r="J55" s="4">
        <v>8.5</v>
      </c>
      <c r="K55" s="5">
        <v>85</v>
      </c>
      <c r="L55" s="5">
        <v>961695</v>
      </c>
      <c r="M55" s="5">
        <v>85</v>
      </c>
      <c r="N55" s="5">
        <v>83</v>
      </c>
      <c r="O55" s="5">
        <v>104</v>
      </c>
      <c r="P55" s="5">
        <v>93</v>
      </c>
      <c r="Q55" s="5">
        <v>457473</v>
      </c>
      <c r="R55" s="5">
        <v>88</v>
      </c>
      <c r="S55" s="5">
        <v>864540</v>
      </c>
      <c r="T55" s="5">
        <v>94</v>
      </c>
      <c r="U55" t="s">
        <v>617</v>
      </c>
      <c r="V55" s="2">
        <v>88</v>
      </c>
      <c r="W55" s="5">
        <f>Top_500_Movies_Ranked_by_Combined_Critics_and_Audience_Scores[[#This Row],[Critic_Rating_RT]]-Top_500_Movies_Ranked_by_Combined_Critics_and_Audience_Scores[[#This Row],[Audience_Rating]]</f>
        <v>-10</v>
      </c>
      <c r="X55" s="5">
        <f>FLOOR(Top_500_Movies_Ranked_by_Combined_Critics_and_Audience_Scores[[#This Row],[Year]],10)</f>
        <v>2000</v>
      </c>
    </row>
    <row r="56" spans="1:24" x14ac:dyDescent="0.2">
      <c r="A56" s="3">
        <v>55</v>
      </c>
      <c r="B56" t="s">
        <v>620</v>
      </c>
      <c r="C56" s="5">
        <v>1995</v>
      </c>
      <c r="D56" t="s">
        <v>621</v>
      </c>
      <c r="E56" t="s">
        <v>622</v>
      </c>
      <c r="F56" t="s">
        <v>30</v>
      </c>
      <c r="G56" t="s">
        <v>625</v>
      </c>
      <c r="H56" t="s">
        <v>626</v>
      </c>
      <c r="I56" s="5">
        <v>88</v>
      </c>
      <c r="J56" s="4">
        <v>8.3000000000000007</v>
      </c>
      <c r="K56" s="5">
        <v>83</v>
      </c>
      <c r="L56" s="5">
        <v>1115033</v>
      </c>
      <c r="M56" s="5">
        <v>96</v>
      </c>
      <c r="N56" s="5">
        <v>92</v>
      </c>
      <c r="O56" s="5">
        <v>73</v>
      </c>
      <c r="P56" s="5">
        <v>89</v>
      </c>
      <c r="Q56" s="5">
        <v>1290101</v>
      </c>
      <c r="R56" s="5">
        <v>82</v>
      </c>
      <c r="S56" s="5">
        <v>1651887</v>
      </c>
      <c r="T56" s="5">
        <v>86</v>
      </c>
      <c r="U56" t="s">
        <v>444</v>
      </c>
      <c r="V56" s="2">
        <v>88</v>
      </c>
      <c r="W56" s="5">
        <f>Top_500_Movies_Ranked_by_Combined_Critics_and_Audience_Scores[[#This Row],[Critic_Rating_RT]]-Top_500_Movies_Ranked_by_Combined_Critics_and_Audience_Scores[[#This Row],[Audience_Rating]]</f>
        <v>3</v>
      </c>
      <c r="X56" s="5">
        <f>FLOOR(Top_500_Movies_Ranked_by_Combined_Critics_and_Audience_Scores[[#This Row],[Year]],10)</f>
        <v>1990</v>
      </c>
    </row>
    <row r="57" spans="1:24" x14ac:dyDescent="0.2">
      <c r="A57" s="3">
        <v>56</v>
      </c>
      <c r="B57" t="s">
        <v>631</v>
      </c>
      <c r="C57" s="5">
        <v>1981</v>
      </c>
      <c r="D57" t="s">
        <v>632</v>
      </c>
      <c r="E57" t="s">
        <v>81</v>
      </c>
      <c r="F57" t="s">
        <v>30</v>
      </c>
      <c r="G57" t="s">
        <v>635</v>
      </c>
      <c r="H57" t="s">
        <v>33</v>
      </c>
      <c r="I57" s="5">
        <v>88</v>
      </c>
      <c r="J57" s="4">
        <v>8.4</v>
      </c>
      <c r="K57" s="5">
        <v>84</v>
      </c>
      <c r="L57" s="5">
        <v>1068716</v>
      </c>
      <c r="M57" s="5">
        <v>86</v>
      </c>
      <c r="N57" s="5">
        <v>91</v>
      </c>
      <c r="O57" s="5">
        <v>105</v>
      </c>
      <c r="P57" s="5">
        <v>91</v>
      </c>
      <c r="Q57" s="5">
        <v>869164</v>
      </c>
      <c r="R57" s="5">
        <v>84</v>
      </c>
      <c r="S57" s="5">
        <v>949820</v>
      </c>
      <c r="T57" s="5">
        <v>91</v>
      </c>
      <c r="U57" t="s">
        <v>638</v>
      </c>
      <c r="V57" s="2">
        <v>87.83</v>
      </c>
      <c r="W57" s="5">
        <f>Top_500_Movies_Ranked_by_Combined_Critics_and_Audience_Scores[[#This Row],[Critic_Rating_RT]]-Top_500_Movies_Ranked_by_Combined_Critics_and_Audience_Scores[[#This Row],[Audience_Rating]]</f>
        <v>0</v>
      </c>
      <c r="X57" s="5">
        <f>FLOOR(Top_500_Movies_Ranked_by_Combined_Critics_and_Audience_Scores[[#This Row],[Year]],10)</f>
        <v>1980</v>
      </c>
    </row>
    <row r="58" spans="1:24" x14ac:dyDescent="0.2">
      <c r="A58" s="3">
        <v>57</v>
      </c>
      <c r="B58" t="s">
        <v>642</v>
      </c>
      <c r="C58" s="5">
        <v>2006</v>
      </c>
      <c r="D58" t="s">
        <v>643</v>
      </c>
      <c r="E58" t="s">
        <v>644</v>
      </c>
      <c r="F58" t="s">
        <v>374</v>
      </c>
      <c r="G58" t="s">
        <v>647</v>
      </c>
      <c r="H58" t="s">
        <v>335</v>
      </c>
      <c r="I58" s="5">
        <v>87</v>
      </c>
      <c r="J58" s="4">
        <v>8.4</v>
      </c>
      <c r="K58" s="5">
        <v>84</v>
      </c>
      <c r="L58" s="5">
        <v>425676</v>
      </c>
      <c r="M58" s="5">
        <v>89</v>
      </c>
      <c r="N58" s="5">
        <v>85</v>
      </c>
      <c r="O58" s="5">
        <v>91</v>
      </c>
      <c r="P58" s="5">
        <v>92</v>
      </c>
      <c r="Q58" s="5">
        <v>131607</v>
      </c>
      <c r="R58" s="5">
        <v>86</v>
      </c>
      <c r="S58" s="5">
        <v>151084</v>
      </c>
      <c r="T58" s="5">
        <v>91</v>
      </c>
      <c r="U58" t="s">
        <v>75</v>
      </c>
      <c r="V58" s="2">
        <v>87.83</v>
      </c>
      <c r="W58" s="5">
        <f>Top_500_Movies_Ranked_by_Combined_Critics_and_Audience_Scores[[#This Row],[Critic_Rating_RT]]-Top_500_Movies_Ranked_by_Combined_Critics_and_Audience_Scores[[#This Row],[Audience_Rating]]</f>
        <v>-7</v>
      </c>
      <c r="X58" s="5">
        <f>FLOOR(Top_500_Movies_Ranked_by_Combined_Critics_and_Audience_Scores[[#This Row],[Year]],10)</f>
        <v>2000</v>
      </c>
    </row>
    <row r="59" spans="1:24" x14ac:dyDescent="0.2">
      <c r="A59" s="3">
        <v>58</v>
      </c>
      <c r="B59" t="s">
        <v>652</v>
      </c>
      <c r="C59" s="5">
        <v>1946</v>
      </c>
      <c r="D59" t="s">
        <v>653</v>
      </c>
      <c r="E59" t="s">
        <v>654</v>
      </c>
      <c r="F59" t="s">
        <v>30</v>
      </c>
      <c r="G59" t="s">
        <v>657</v>
      </c>
      <c r="H59" t="s">
        <v>365</v>
      </c>
      <c r="I59" s="5">
        <v>87</v>
      </c>
      <c r="J59" s="4">
        <v>8.1</v>
      </c>
      <c r="K59" s="5">
        <v>81</v>
      </c>
      <c r="L59" s="5">
        <v>73744</v>
      </c>
      <c r="M59" s="5">
        <v>93</v>
      </c>
      <c r="N59" s="5">
        <v>91</v>
      </c>
      <c r="O59" s="5">
        <v>63</v>
      </c>
      <c r="P59" s="5">
        <v>89</v>
      </c>
      <c r="Q59" s="5">
        <v>20090</v>
      </c>
      <c r="R59" s="5">
        <v>84</v>
      </c>
      <c r="S59" s="5">
        <v>38366</v>
      </c>
      <c r="T59" s="5">
        <v>89</v>
      </c>
      <c r="U59" t="s">
        <v>660</v>
      </c>
      <c r="V59" s="2">
        <v>87.83</v>
      </c>
      <c r="W59" s="5">
        <f>Top_500_Movies_Ranked_by_Combined_Critics_and_Audience_Scores[[#This Row],[Critic_Rating_RT]]-Top_500_Movies_Ranked_by_Combined_Critics_and_Audience_Scores[[#This Row],[Audience_Rating]]</f>
        <v>2</v>
      </c>
      <c r="X59" s="5">
        <f>FLOOR(Top_500_Movies_Ranked_by_Combined_Critics_and_Audience_Scores[[#This Row],[Year]],10)</f>
        <v>1940</v>
      </c>
    </row>
    <row r="60" spans="1:24" x14ac:dyDescent="0.2">
      <c r="A60" s="3">
        <v>59</v>
      </c>
      <c r="B60" t="s">
        <v>663</v>
      </c>
      <c r="C60" s="5">
        <v>1940</v>
      </c>
      <c r="D60" t="s">
        <v>126</v>
      </c>
      <c r="E60" t="s">
        <v>664</v>
      </c>
      <c r="F60" t="s">
        <v>30</v>
      </c>
      <c r="G60" t="s">
        <v>191</v>
      </c>
      <c r="H60" t="s">
        <v>239</v>
      </c>
      <c r="I60" s="5">
        <v>87</v>
      </c>
      <c r="J60" s="4">
        <v>8</v>
      </c>
      <c r="K60" s="5">
        <v>80</v>
      </c>
      <c r="L60" s="5">
        <v>41339</v>
      </c>
      <c r="M60" s="5">
        <v>96</v>
      </c>
      <c r="N60" s="5">
        <v>90</v>
      </c>
      <c r="O60" s="5">
        <v>51</v>
      </c>
      <c r="P60" s="5">
        <v>88</v>
      </c>
      <c r="Q60" s="5">
        <v>30945</v>
      </c>
      <c r="R60" s="5">
        <v>84</v>
      </c>
      <c r="S60" s="5">
        <v>68741</v>
      </c>
      <c r="T60" s="5">
        <v>89</v>
      </c>
      <c r="U60" t="s">
        <v>135</v>
      </c>
      <c r="V60" s="2">
        <v>87.83</v>
      </c>
      <c r="W60" s="5">
        <f>Top_500_Movies_Ranked_by_Combined_Critics_and_Audience_Scores[[#This Row],[Critic_Rating_RT]]-Top_500_Movies_Ranked_by_Combined_Critics_and_Audience_Scores[[#This Row],[Audience_Rating]]</f>
        <v>2</v>
      </c>
      <c r="X60" s="5">
        <f>FLOOR(Top_500_Movies_Ranked_by_Combined_Critics_and_Audience_Scores[[#This Row],[Year]],10)</f>
        <v>1940</v>
      </c>
    </row>
    <row r="61" spans="1:24" x14ac:dyDescent="0.2">
      <c r="A61" s="3">
        <v>60</v>
      </c>
      <c r="B61" t="s">
        <v>671</v>
      </c>
      <c r="C61" s="5">
        <v>2007</v>
      </c>
      <c r="D61" t="s">
        <v>65</v>
      </c>
      <c r="E61" t="s">
        <v>342</v>
      </c>
      <c r="F61" t="s">
        <v>30</v>
      </c>
      <c r="G61" t="s">
        <v>674</v>
      </c>
      <c r="H61" t="s">
        <v>675</v>
      </c>
      <c r="I61" s="5">
        <v>88</v>
      </c>
      <c r="J61" s="4">
        <v>8.1999999999999993</v>
      </c>
      <c r="K61" s="5">
        <v>82</v>
      </c>
      <c r="L61" s="5">
        <v>666631</v>
      </c>
      <c r="M61" s="5">
        <v>93</v>
      </c>
      <c r="N61" s="5">
        <v>87</v>
      </c>
      <c r="O61" s="5">
        <v>166</v>
      </c>
      <c r="P61" s="5">
        <v>84</v>
      </c>
      <c r="Q61" s="5">
        <v>462225</v>
      </c>
      <c r="R61" s="5">
        <v>90</v>
      </c>
      <c r="S61" s="5">
        <v>874342</v>
      </c>
      <c r="T61" s="5">
        <v>91</v>
      </c>
      <c r="U61" t="s">
        <v>42</v>
      </c>
      <c r="V61" s="2">
        <v>87.83</v>
      </c>
      <c r="W61" s="5">
        <f>Top_500_Movies_Ranked_by_Combined_Critics_and_Audience_Scores[[#This Row],[Critic_Rating_RT]]-Top_500_Movies_Ranked_by_Combined_Critics_and_Audience_Scores[[#This Row],[Audience_Rating]]</f>
        <v>3</v>
      </c>
      <c r="X61" s="5">
        <f>FLOOR(Top_500_Movies_Ranked_by_Combined_Critics_and_Audience_Scores[[#This Row],[Year]],10)</f>
        <v>2000</v>
      </c>
    </row>
    <row r="62" spans="1:24" x14ac:dyDescent="0.2">
      <c r="A62" s="3">
        <v>61</v>
      </c>
      <c r="B62" t="s">
        <v>680</v>
      </c>
      <c r="C62" s="5">
        <v>1957</v>
      </c>
      <c r="D62" t="s">
        <v>681</v>
      </c>
      <c r="E62" t="s">
        <v>682</v>
      </c>
      <c r="F62" t="s">
        <v>684</v>
      </c>
      <c r="G62" t="s">
        <v>686</v>
      </c>
      <c r="H62" t="s">
        <v>687</v>
      </c>
      <c r="I62" s="5">
        <v>87</v>
      </c>
      <c r="J62" s="4">
        <v>8.1</v>
      </c>
      <c r="K62" s="5">
        <v>81</v>
      </c>
      <c r="L62" s="5">
        <v>206854</v>
      </c>
      <c r="M62" s="5">
        <v>88</v>
      </c>
      <c r="N62" s="5">
        <v>91</v>
      </c>
      <c r="O62" s="5">
        <v>57</v>
      </c>
      <c r="P62" s="5">
        <v>90</v>
      </c>
      <c r="Q62" s="5">
        <v>132192</v>
      </c>
      <c r="R62" s="5">
        <v>86</v>
      </c>
      <c r="S62" s="5">
        <v>297436</v>
      </c>
      <c r="T62" s="5">
        <v>90</v>
      </c>
      <c r="U62" t="s">
        <v>135</v>
      </c>
      <c r="V62" s="2">
        <v>87.67</v>
      </c>
      <c r="W62" s="5">
        <f>Top_500_Movies_Ranked_by_Combined_Critics_and_Audience_Scores[[#This Row],[Critic_Rating_RT]]-Top_500_Movies_Ranked_by_Combined_Critics_and_Audience_Scores[[#This Row],[Audience_Rating]]</f>
        <v>1</v>
      </c>
      <c r="X62" s="5">
        <f>FLOOR(Top_500_Movies_Ranked_by_Combined_Critics_and_Audience_Scores[[#This Row],[Year]],10)</f>
        <v>1950</v>
      </c>
    </row>
    <row r="63" spans="1:24" x14ac:dyDescent="0.2">
      <c r="A63" s="3">
        <v>62</v>
      </c>
      <c r="B63" t="s">
        <v>693</v>
      </c>
      <c r="C63" s="5">
        <v>2002</v>
      </c>
      <c r="D63" t="s">
        <v>348</v>
      </c>
      <c r="E63" t="s">
        <v>349</v>
      </c>
      <c r="F63" t="s">
        <v>30</v>
      </c>
      <c r="G63" t="s">
        <v>695</v>
      </c>
      <c r="H63" t="s">
        <v>353</v>
      </c>
      <c r="I63" s="5">
        <v>87</v>
      </c>
      <c r="J63" s="4">
        <v>8.8000000000000007</v>
      </c>
      <c r="K63" s="5">
        <v>88</v>
      </c>
      <c r="L63" s="5">
        <v>1861078</v>
      </c>
      <c r="M63" s="5">
        <v>87</v>
      </c>
      <c r="N63" s="5">
        <v>86</v>
      </c>
      <c r="O63" s="5">
        <v>140</v>
      </c>
      <c r="P63" s="5">
        <v>92</v>
      </c>
      <c r="Q63" s="5">
        <v>1379232</v>
      </c>
      <c r="R63" s="5">
        <v>88</v>
      </c>
      <c r="S63" s="5">
        <v>1454840</v>
      </c>
      <c r="T63" s="5">
        <v>85</v>
      </c>
      <c r="U63" t="s">
        <v>60</v>
      </c>
      <c r="V63" s="2">
        <v>87.67</v>
      </c>
      <c r="W63" s="5">
        <f>Top_500_Movies_Ranked_by_Combined_Critics_and_Audience_Scores[[#This Row],[Critic_Rating_RT]]-Top_500_Movies_Ranked_by_Combined_Critics_and_Audience_Scores[[#This Row],[Audience_Rating]]</f>
        <v>-6</v>
      </c>
      <c r="X63" s="5">
        <f>FLOOR(Top_500_Movies_Ranked_by_Combined_Critics_and_Audience_Scores[[#This Row],[Year]],10)</f>
        <v>2000</v>
      </c>
    </row>
    <row r="64" spans="1:24" x14ac:dyDescent="0.2">
      <c r="A64" s="3">
        <v>63</v>
      </c>
      <c r="B64" t="s">
        <v>700</v>
      </c>
      <c r="C64" s="5">
        <v>1989</v>
      </c>
      <c r="D64" t="s">
        <v>65</v>
      </c>
      <c r="E64" t="s">
        <v>701</v>
      </c>
      <c r="F64" t="s">
        <v>30</v>
      </c>
      <c r="G64" t="s">
        <v>709</v>
      </c>
      <c r="H64" t="s">
        <v>85</v>
      </c>
      <c r="I64" s="5">
        <v>88</v>
      </c>
      <c r="J64" s="4">
        <v>8</v>
      </c>
      <c r="K64" s="5">
        <v>80</v>
      </c>
      <c r="L64" s="5">
        <v>117516</v>
      </c>
      <c r="M64" s="5">
        <v>93</v>
      </c>
      <c r="N64" s="5">
        <v>92</v>
      </c>
      <c r="O64" s="5">
        <v>82</v>
      </c>
      <c r="P64" s="5">
        <v>86</v>
      </c>
      <c r="Q64" s="5">
        <v>177459</v>
      </c>
      <c r="R64" s="5">
        <v>88</v>
      </c>
      <c r="S64" s="5">
        <v>384341</v>
      </c>
      <c r="T64" s="5">
        <v>86</v>
      </c>
      <c r="U64" t="s">
        <v>253</v>
      </c>
      <c r="V64" s="2">
        <v>87.5</v>
      </c>
      <c r="W64" s="5">
        <f>Top_500_Movies_Ranked_by_Combined_Critics_and_Audience_Scores[[#This Row],[Critic_Rating_RT]]-Top_500_Movies_Ranked_by_Combined_Critics_and_Audience_Scores[[#This Row],[Audience_Rating]]</f>
        <v>6</v>
      </c>
      <c r="X64" s="5">
        <f>FLOOR(Top_500_Movies_Ranked_by_Combined_Critics_and_Audience_Scores[[#This Row],[Year]],10)</f>
        <v>1980</v>
      </c>
    </row>
    <row r="65" spans="1:24" x14ac:dyDescent="0.2">
      <c r="A65" s="3">
        <v>64</v>
      </c>
      <c r="B65" t="s">
        <v>715</v>
      </c>
      <c r="C65" s="5">
        <v>1984</v>
      </c>
      <c r="D65" t="s">
        <v>716</v>
      </c>
      <c r="E65" t="s">
        <v>4319</v>
      </c>
      <c r="F65" t="s">
        <v>30</v>
      </c>
      <c r="G65" t="s">
        <v>719</v>
      </c>
      <c r="H65" t="s">
        <v>216</v>
      </c>
      <c r="I65" s="5">
        <v>87</v>
      </c>
      <c r="J65" s="4">
        <v>8.4</v>
      </c>
      <c r="K65" s="5">
        <v>84</v>
      </c>
      <c r="L65" s="5">
        <v>446044</v>
      </c>
      <c r="M65" s="5">
        <v>87</v>
      </c>
      <c r="N65" s="5">
        <v>89</v>
      </c>
      <c r="O65" s="5">
        <v>85</v>
      </c>
      <c r="P65" s="5">
        <v>91</v>
      </c>
      <c r="Q65" s="5">
        <v>240893</v>
      </c>
      <c r="R65" s="5">
        <v>86</v>
      </c>
      <c r="S65" s="5">
        <v>361671</v>
      </c>
      <c r="T65" s="5">
        <v>88</v>
      </c>
      <c r="U65" t="s">
        <v>75</v>
      </c>
      <c r="V65" s="2">
        <v>87.5</v>
      </c>
      <c r="W65" s="5">
        <f>Top_500_Movies_Ranked_by_Combined_Critics_and_Audience_Scores[[#This Row],[Critic_Rating_RT]]-Top_500_Movies_Ranked_by_Combined_Critics_and_Audience_Scores[[#This Row],[Audience_Rating]]</f>
        <v>-2</v>
      </c>
      <c r="X65" s="5">
        <f>FLOOR(Top_500_Movies_Ranked_by_Combined_Critics_and_Audience_Scores[[#This Row],[Year]],10)</f>
        <v>1980</v>
      </c>
    </row>
    <row r="66" spans="1:24" x14ac:dyDescent="0.2">
      <c r="A66" s="3">
        <v>65</v>
      </c>
      <c r="B66" t="s">
        <v>724</v>
      </c>
      <c r="C66" s="5">
        <v>2004</v>
      </c>
      <c r="D66" t="s">
        <v>725</v>
      </c>
      <c r="E66" t="s">
        <v>726</v>
      </c>
      <c r="F66" t="s">
        <v>30</v>
      </c>
      <c r="G66" t="s">
        <v>729</v>
      </c>
      <c r="H66" t="s">
        <v>614</v>
      </c>
      <c r="I66" s="5">
        <v>87</v>
      </c>
      <c r="J66" s="4">
        <v>8.3000000000000007</v>
      </c>
      <c r="K66" s="5">
        <v>83</v>
      </c>
      <c r="L66" s="5">
        <v>1129606</v>
      </c>
      <c r="M66" s="5">
        <v>89</v>
      </c>
      <c r="N66" s="5">
        <v>86</v>
      </c>
      <c r="O66" s="5">
        <v>165</v>
      </c>
      <c r="P66" s="5">
        <v>90</v>
      </c>
      <c r="Q66" s="5">
        <v>1168654</v>
      </c>
      <c r="R66" s="5">
        <v>84</v>
      </c>
      <c r="S66" s="5">
        <v>2359950</v>
      </c>
      <c r="T66" s="5">
        <v>93</v>
      </c>
      <c r="U66" t="s">
        <v>75</v>
      </c>
      <c r="V66" s="2">
        <v>87.5</v>
      </c>
      <c r="W66" s="5">
        <f>Top_500_Movies_Ranked_by_Combined_Critics_and_Audience_Scores[[#This Row],[Critic_Rating_RT]]-Top_500_Movies_Ranked_by_Combined_Critics_and_Audience_Scores[[#This Row],[Audience_Rating]]</f>
        <v>-4</v>
      </c>
      <c r="X66" s="5">
        <f>FLOOR(Top_500_Movies_Ranked_by_Combined_Critics_and_Audience_Scores[[#This Row],[Year]],10)</f>
        <v>2000</v>
      </c>
    </row>
    <row r="67" spans="1:24" x14ac:dyDescent="0.2">
      <c r="A67" s="3">
        <v>66</v>
      </c>
      <c r="B67" t="s">
        <v>733</v>
      </c>
      <c r="C67" s="5">
        <v>1955</v>
      </c>
      <c r="D67" t="s">
        <v>571</v>
      </c>
      <c r="E67" t="s">
        <v>734</v>
      </c>
      <c r="F67" t="s">
        <v>30</v>
      </c>
      <c r="G67" t="s">
        <v>191</v>
      </c>
      <c r="H67" t="s">
        <v>167</v>
      </c>
      <c r="I67" s="5">
        <v>87</v>
      </c>
      <c r="J67" s="4">
        <v>8</v>
      </c>
      <c r="K67" s="5">
        <v>80</v>
      </c>
      <c r="L67" s="5">
        <v>102071</v>
      </c>
      <c r="M67" s="5">
        <v>97</v>
      </c>
      <c r="N67" s="5">
        <v>93</v>
      </c>
      <c r="O67" s="5">
        <v>82</v>
      </c>
      <c r="P67" s="5">
        <v>87</v>
      </c>
      <c r="Q67" s="5">
        <v>72731</v>
      </c>
      <c r="R67" s="5">
        <v>86</v>
      </c>
      <c r="S67" s="5">
        <v>168419</v>
      </c>
      <c r="T67" s="5">
        <v>82</v>
      </c>
      <c r="U67" t="s">
        <v>75</v>
      </c>
      <c r="V67" s="2">
        <v>87.5</v>
      </c>
      <c r="W67" s="5">
        <f>Top_500_Movies_Ranked_by_Combined_Critics_and_Audience_Scores[[#This Row],[Critic_Rating_RT]]-Top_500_Movies_Ranked_by_Combined_Critics_and_Audience_Scores[[#This Row],[Audience_Rating]]</f>
        <v>6</v>
      </c>
      <c r="X67" s="5">
        <f>FLOOR(Top_500_Movies_Ranked_by_Combined_Critics_and_Audience_Scores[[#This Row],[Year]],10)</f>
        <v>1950</v>
      </c>
    </row>
    <row r="68" spans="1:24" x14ac:dyDescent="0.2">
      <c r="A68" s="3">
        <v>67</v>
      </c>
      <c r="B68" t="s">
        <v>741</v>
      </c>
      <c r="C68" s="5">
        <v>2007</v>
      </c>
      <c r="D68" t="s">
        <v>742</v>
      </c>
      <c r="E68" t="s">
        <v>743</v>
      </c>
      <c r="F68" t="s">
        <v>30</v>
      </c>
      <c r="G68" t="s">
        <v>746</v>
      </c>
      <c r="H68" t="s">
        <v>747</v>
      </c>
      <c r="I68" s="5">
        <v>87</v>
      </c>
      <c r="J68" s="4">
        <v>8.1</v>
      </c>
      <c r="K68" s="5">
        <v>81</v>
      </c>
      <c r="L68" s="5">
        <v>877175</v>
      </c>
      <c r="M68" s="5">
        <v>96</v>
      </c>
      <c r="N68" s="5">
        <v>88</v>
      </c>
      <c r="O68" s="5">
        <v>152</v>
      </c>
      <c r="P68" s="5">
        <v>84</v>
      </c>
      <c r="Q68" s="5">
        <v>1516553</v>
      </c>
      <c r="R68" s="5">
        <v>84</v>
      </c>
      <c r="S68" s="5">
        <v>2402281</v>
      </c>
      <c r="T68" s="5">
        <v>91</v>
      </c>
      <c r="U68" t="s">
        <v>444</v>
      </c>
      <c r="V68" s="2">
        <v>87.33</v>
      </c>
      <c r="W68" s="5">
        <f>Top_500_Movies_Ranked_by_Combined_Critics_and_Audience_Scores[[#This Row],[Critic_Rating_RT]]-Top_500_Movies_Ranked_by_Combined_Critics_and_Audience_Scores[[#This Row],[Audience_Rating]]</f>
        <v>4</v>
      </c>
      <c r="X68" s="5">
        <f>FLOOR(Top_500_Movies_Ranked_by_Combined_Critics_and_Audience_Scores[[#This Row],[Year]],10)</f>
        <v>2000</v>
      </c>
    </row>
    <row r="69" spans="1:24" x14ac:dyDescent="0.2">
      <c r="A69" s="3">
        <v>68</v>
      </c>
      <c r="B69" t="s">
        <v>753</v>
      </c>
      <c r="C69" s="5">
        <v>2023</v>
      </c>
      <c r="D69" t="s">
        <v>211</v>
      </c>
      <c r="E69" t="s">
        <v>754</v>
      </c>
      <c r="F69" t="s">
        <v>30</v>
      </c>
      <c r="G69" t="s">
        <v>4317</v>
      </c>
      <c r="H69" t="s">
        <v>4317</v>
      </c>
      <c r="I69" s="5">
        <v>87</v>
      </c>
      <c r="J69" s="4">
        <v>7.8</v>
      </c>
      <c r="K69" s="5">
        <v>78</v>
      </c>
      <c r="L69" s="5">
        <v>148063</v>
      </c>
      <c r="M69" s="5">
        <v>94</v>
      </c>
      <c r="N69" s="5">
        <v>92</v>
      </c>
      <c r="O69" s="5">
        <v>181</v>
      </c>
      <c r="Q69" s="5">
        <v>422095</v>
      </c>
      <c r="R69" s="5">
        <v>84</v>
      </c>
      <c r="S69" s="5">
        <v>1258872</v>
      </c>
      <c r="T69" s="5">
        <v>88</v>
      </c>
      <c r="U69" t="s">
        <v>4317</v>
      </c>
      <c r="V69" s="2">
        <v>87.2</v>
      </c>
      <c r="W69" s="5">
        <f>Top_500_Movies_Ranked_by_Combined_Critics_and_Audience_Scores[[#This Row],[Critic_Rating_RT]]-Top_500_Movies_Ranked_by_Combined_Critics_and_Audience_Scores[[#This Row],[Audience_Rating]]</f>
        <v>92</v>
      </c>
      <c r="X69" s="5">
        <f>FLOOR(Top_500_Movies_Ranked_by_Combined_Critics_and_Audience_Scores[[#This Row],[Year]],10)</f>
        <v>2020</v>
      </c>
    </row>
    <row r="70" spans="1:24" x14ac:dyDescent="0.2">
      <c r="A70" s="3">
        <v>69</v>
      </c>
      <c r="B70" t="s">
        <v>763</v>
      </c>
      <c r="C70" s="5">
        <v>2006</v>
      </c>
      <c r="D70" t="s">
        <v>764</v>
      </c>
      <c r="E70" t="s">
        <v>174</v>
      </c>
      <c r="F70" t="s">
        <v>30</v>
      </c>
      <c r="G70" t="s">
        <v>767</v>
      </c>
      <c r="H70" t="s">
        <v>216</v>
      </c>
      <c r="I70" s="5">
        <v>86</v>
      </c>
      <c r="J70" s="4">
        <v>8.5</v>
      </c>
      <c r="K70" s="5">
        <v>85</v>
      </c>
      <c r="L70" s="5">
        <v>1478709</v>
      </c>
      <c r="M70" s="5">
        <v>85</v>
      </c>
      <c r="N70" s="5">
        <v>84</v>
      </c>
      <c r="O70" s="5">
        <v>172</v>
      </c>
      <c r="P70" s="5">
        <v>91</v>
      </c>
      <c r="Q70" s="5">
        <v>853886</v>
      </c>
      <c r="R70" s="5">
        <v>86</v>
      </c>
      <c r="S70" s="5">
        <v>1082954</v>
      </c>
      <c r="T70" s="5">
        <v>92</v>
      </c>
      <c r="U70" t="s">
        <v>135</v>
      </c>
      <c r="V70" s="2">
        <v>87.17</v>
      </c>
      <c r="W70" s="5">
        <f>Top_500_Movies_Ranked_by_Combined_Critics_and_Audience_Scores[[#This Row],[Critic_Rating_RT]]-Top_500_Movies_Ranked_by_Combined_Critics_and_Audience_Scores[[#This Row],[Audience_Rating]]</f>
        <v>-7</v>
      </c>
      <c r="X70" s="5">
        <f>FLOOR(Top_500_Movies_Ranked_by_Combined_Critics_and_Audience_Scores[[#This Row],[Year]],10)</f>
        <v>2000</v>
      </c>
    </row>
    <row r="71" spans="1:24" x14ac:dyDescent="0.2">
      <c r="A71" s="3">
        <v>70</v>
      </c>
      <c r="B71" t="s">
        <v>773</v>
      </c>
      <c r="C71" s="5">
        <v>1974</v>
      </c>
      <c r="D71" t="s">
        <v>774</v>
      </c>
      <c r="E71" t="s">
        <v>610</v>
      </c>
      <c r="F71" t="s">
        <v>30</v>
      </c>
      <c r="G71" t="s">
        <v>777</v>
      </c>
      <c r="H71" t="s">
        <v>33</v>
      </c>
      <c r="I71" s="5">
        <v>87</v>
      </c>
      <c r="J71" s="4">
        <v>8.1</v>
      </c>
      <c r="K71" s="5">
        <v>81</v>
      </c>
      <c r="L71" s="5">
        <v>362976</v>
      </c>
      <c r="M71" s="5">
        <v>92</v>
      </c>
      <c r="N71" s="5">
        <v>94</v>
      </c>
      <c r="O71" s="5">
        <v>63</v>
      </c>
      <c r="P71" s="5">
        <v>89</v>
      </c>
      <c r="Q71" s="5">
        <v>176581</v>
      </c>
      <c r="R71" s="5">
        <v>86</v>
      </c>
      <c r="S71" s="5">
        <v>373349</v>
      </c>
      <c r="T71" s="5">
        <v>81</v>
      </c>
      <c r="U71" t="s">
        <v>780</v>
      </c>
      <c r="V71" s="2">
        <v>87.17</v>
      </c>
      <c r="W71" s="5">
        <f>Top_500_Movies_Ranked_by_Combined_Critics_and_Audience_Scores[[#This Row],[Critic_Rating_RT]]-Top_500_Movies_Ranked_by_Combined_Critics_and_Audience_Scores[[#This Row],[Audience_Rating]]</f>
        <v>5</v>
      </c>
      <c r="X71" s="5">
        <f>FLOOR(Top_500_Movies_Ranked_by_Combined_Critics_and_Audience_Scores[[#This Row],[Year]],10)</f>
        <v>1970</v>
      </c>
    </row>
    <row r="72" spans="1:24" x14ac:dyDescent="0.2">
      <c r="A72" s="3">
        <v>71</v>
      </c>
      <c r="B72" t="s">
        <v>782</v>
      </c>
      <c r="C72" s="5">
        <v>1957</v>
      </c>
      <c r="D72" t="s">
        <v>783</v>
      </c>
      <c r="E72" t="s">
        <v>199</v>
      </c>
      <c r="F72" t="s">
        <v>30</v>
      </c>
      <c r="G72" t="s">
        <v>786</v>
      </c>
      <c r="H72" t="s">
        <v>167</v>
      </c>
      <c r="I72" s="5">
        <v>86</v>
      </c>
      <c r="J72" s="4">
        <v>8.4</v>
      </c>
      <c r="K72" s="5">
        <v>84</v>
      </c>
      <c r="L72" s="5">
        <v>224612</v>
      </c>
      <c r="M72" s="5">
        <v>90</v>
      </c>
      <c r="N72" s="5">
        <v>90</v>
      </c>
      <c r="O72" s="5">
        <v>68</v>
      </c>
      <c r="P72" s="5">
        <v>92</v>
      </c>
      <c r="Q72" s="5">
        <v>99118</v>
      </c>
      <c r="R72" s="5">
        <v>88</v>
      </c>
      <c r="S72" s="5">
        <v>226166</v>
      </c>
      <c r="T72" s="5">
        <v>79</v>
      </c>
      <c r="U72" t="s">
        <v>75</v>
      </c>
      <c r="V72" s="2">
        <v>87.17</v>
      </c>
      <c r="W72" s="5">
        <f>Top_500_Movies_Ranked_by_Combined_Critics_and_Audience_Scores[[#This Row],[Critic_Rating_RT]]-Top_500_Movies_Ranked_by_Combined_Critics_and_Audience_Scores[[#This Row],[Audience_Rating]]</f>
        <v>-2</v>
      </c>
      <c r="X72" s="5">
        <f>FLOOR(Top_500_Movies_Ranked_by_Combined_Critics_and_Audience_Scores[[#This Row],[Year]],10)</f>
        <v>1950</v>
      </c>
    </row>
    <row r="73" spans="1:24" x14ac:dyDescent="0.2">
      <c r="A73" s="3">
        <v>72</v>
      </c>
      <c r="B73" t="s">
        <v>791</v>
      </c>
      <c r="C73" s="5">
        <v>1975</v>
      </c>
      <c r="D73" t="s">
        <v>792</v>
      </c>
      <c r="E73" t="s">
        <v>793</v>
      </c>
      <c r="F73" t="s">
        <v>30</v>
      </c>
      <c r="G73" t="s">
        <v>796</v>
      </c>
      <c r="H73" t="s">
        <v>797</v>
      </c>
      <c r="I73" s="5">
        <v>86</v>
      </c>
      <c r="J73" s="4">
        <v>8.1999999999999993</v>
      </c>
      <c r="K73" s="5">
        <v>82</v>
      </c>
      <c r="L73" s="5">
        <v>584895</v>
      </c>
      <c r="M73" s="5">
        <v>91</v>
      </c>
      <c r="N73" s="5">
        <v>87</v>
      </c>
      <c r="O73" s="5">
        <v>60</v>
      </c>
      <c r="P73" s="5">
        <v>90</v>
      </c>
      <c r="Q73" s="5">
        <v>602159</v>
      </c>
      <c r="R73" s="5">
        <v>82</v>
      </c>
      <c r="S73" s="5">
        <v>515943</v>
      </c>
      <c r="T73" s="5">
        <v>91</v>
      </c>
      <c r="U73" t="s">
        <v>800</v>
      </c>
      <c r="V73" s="2">
        <v>87.17</v>
      </c>
      <c r="W73" s="5">
        <f>Top_500_Movies_Ranked_by_Combined_Critics_and_Audience_Scores[[#This Row],[Critic_Rating_RT]]-Top_500_Movies_Ranked_by_Combined_Critics_and_Audience_Scores[[#This Row],[Audience_Rating]]</f>
        <v>-3</v>
      </c>
      <c r="X73" s="5">
        <f>FLOOR(Top_500_Movies_Ranked_by_Combined_Critics_and_Audience_Scores[[#This Row],[Year]],10)</f>
        <v>1970</v>
      </c>
    </row>
    <row r="74" spans="1:24" x14ac:dyDescent="0.2">
      <c r="A74" s="3">
        <v>73</v>
      </c>
      <c r="B74" t="s">
        <v>803</v>
      </c>
      <c r="C74" s="5">
        <v>1988</v>
      </c>
      <c r="D74" t="s">
        <v>804</v>
      </c>
      <c r="E74" t="s">
        <v>141</v>
      </c>
      <c r="F74" t="s">
        <v>50</v>
      </c>
      <c r="G74" t="s">
        <v>807</v>
      </c>
      <c r="H74" t="s">
        <v>808</v>
      </c>
      <c r="I74" s="5">
        <v>86</v>
      </c>
      <c r="J74" s="4">
        <v>8.1</v>
      </c>
      <c r="K74" s="5">
        <v>81</v>
      </c>
      <c r="L74" s="5">
        <v>403332</v>
      </c>
      <c r="M74" s="5">
        <v>87</v>
      </c>
      <c r="N74" s="5">
        <v>86</v>
      </c>
      <c r="O74" s="5">
        <v>54</v>
      </c>
      <c r="P74" s="5">
        <v>90</v>
      </c>
      <c r="Q74" s="5">
        <v>503212</v>
      </c>
      <c r="R74" s="5">
        <v>84</v>
      </c>
      <c r="S74" s="5">
        <v>1326860</v>
      </c>
      <c r="T74" s="5">
        <v>94</v>
      </c>
      <c r="U74" t="s">
        <v>135</v>
      </c>
      <c r="V74" s="2">
        <v>87</v>
      </c>
      <c r="W74" s="5">
        <f>Top_500_Movies_Ranked_by_Combined_Critics_and_Audience_Scores[[#This Row],[Critic_Rating_RT]]-Top_500_Movies_Ranked_by_Combined_Critics_and_Audience_Scores[[#This Row],[Audience_Rating]]</f>
        <v>-4</v>
      </c>
      <c r="X74" s="5">
        <f>FLOOR(Top_500_Movies_Ranked_by_Combined_Critics_and_Audience_Scores[[#This Row],[Year]],10)</f>
        <v>1980</v>
      </c>
    </row>
    <row r="75" spans="1:24" x14ac:dyDescent="0.2">
      <c r="A75" s="3">
        <v>74</v>
      </c>
      <c r="B75" t="s">
        <v>813</v>
      </c>
      <c r="C75" s="5">
        <v>1997</v>
      </c>
      <c r="D75" t="s">
        <v>814</v>
      </c>
      <c r="E75" t="s">
        <v>815</v>
      </c>
      <c r="F75" t="s">
        <v>30</v>
      </c>
      <c r="G75" t="s">
        <v>818</v>
      </c>
      <c r="H75" t="s">
        <v>216</v>
      </c>
      <c r="I75" s="5">
        <v>86</v>
      </c>
      <c r="J75" s="4">
        <v>8.1999999999999993</v>
      </c>
      <c r="K75" s="5">
        <v>82</v>
      </c>
      <c r="L75" s="5">
        <v>638085</v>
      </c>
      <c r="M75" s="5">
        <v>91</v>
      </c>
      <c r="N75" s="5">
        <v>90</v>
      </c>
      <c r="O75" s="5">
        <v>96</v>
      </c>
      <c r="P75" s="5">
        <v>90</v>
      </c>
      <c r="Q75" s="5">
        <v>205235</v>
      </c>
      <c r="R75" s="5">
        <v>82</v>
      </c>
      <c r="S75" s="5">
        <v>312718</v>
      </c>
      <c r="T75" s="5">
        <v>87</v>
      </c>
      <c r="U75" t="s">
        <v>821</v>
      </c>
      <c r="V75" s="2">
        <v>87</v>
      </c>
      <c r="W75" s="5">
        <f>Top_500_Movies_Ranked_by_Combined_Critics_and_Audience_Scores[[#This Row],[Critic_Rating_RT]]-Top_500_Movies_Ranked_by_Combined_Critics_and_Audience_Scores[[#This Row],[Audience_Rating]]</f>
        <v>0</v>
      </c>
      <c r="X75" s="5">
        <f>FLOOR(Top_500_Movies_Ranked_by_Combined_Critics_and_Audience_Scores[[#This Row],[Year]],10)</f>
        <v>1990</v>
      </c>
    </row>
    <row r="76" spans="1:24" x14ac:dyDescent="0.2">
      <c r="A76" s="3">
        <v>75</v>
      </c>
      <c r="B76" t="s">
        <v>824</v>
      </c>
      <c r="C76" s="5">
        <v>1994</v>
      </c>
      <c r="D76" t="s">
        <v>825</v>
      </c>
      <c r="E76" t="s">
        <v>826</v>
      </c>
      <c r="F76" t="s">
        <v>30</v>
      </c>
      <c r="G76" t="s">
        <v>829</v>
      </c>
      <c r="H76" t="s">
        <v>626</v>
      </c>
      <c r="I76" s="5">
        <v>86</v>
      </c>
      <c r="J76" s="4">
        <v>8.5</v>
      </c>
      <c r="K76" s="5">
        <v>85</v>
      </c>
      <c r="L76" s="5">
        <v>1194520</v>
      </c>
      <c r="M76" s="5">
        <v>88</v>
      </c>
      <c r="N76" s="5">
        <v>86</v>
      </c>
      <c r="O76" s="5">
        <v>115</v>
      </c>
      <c r="P76" s="5">
        <v>90</v>
      </c>
      <c r="Q76" s="5">
        <v>1332919</v>
      </c>
      <c r="R76" s="5">
        <v>84</v>
      </c>
      <c r="S76" s="5">
        <v>1460091</v>
      </c>
      <c r="T76" s="5">
        <v>89</v>
      </c>
      <c r="U76" t="s">
        <v>444</v>
      </c>
      <c r="V76" s="2">
        <v>87</v>
      </c>
      <c r="W76" s="5">
        <f>Top_500_Movies_Ranked_by_Combined_Critics_and_Audience_Scores[[#This Row],[Critic_Rating_RT]]-Top_500_Movies_Ranked_by_Combined_Critics_and_Audience_Scores[[#This Row],[Audience_Rating]]</f>
        <v>-4</v>
      </c>
      <c r="X76" s="5">
        <f>FLOOR(Top_500_Movies_Ranked_by_Combined_Critics_and_Audience_Scores[[#This Row],[Year]],10)</f>
        <v>1990</v>
      </c>
    </row>
    <row r="77" spans="1:24" x14ac:dyDescent="0.2">
      <c r="A77" s="3">
        <v>76</v>
      </c>
      <c r="B77" t="s">
        <v>834</v>
      </c>
      <c r="C77" s="5">
        <v>2020</v>
      </c>
      <c r="D77" t="s">
        <v>835</v>
      </c>
      <c r="E77" t="s">
        <v>836</v>
      </c>
      <c r="F77" t="s">
        <v>30</v>
      </c>
      <c r="G77" t="s">
        <v>4317</v>
      </c>
      <c r="H77" t="s">
        <v>4317</v>
      </c>
      <c r="I77" s="5">
        <v>87</v>
      </c>
      <c r="J77" s="4">
        <v>8.3000000000000007</v>
      </c>
      <c r="K77" s="5">
        <v>83</v>
      </c>
      <c r="L77" s="5">
        <v>126439</v>
      </c>
      <c r="M77" s="5">
        <v>88</v>
      </c>
      <c r="N77" s="5">
        <v>91</v>
      </c>
      <c r="O77" s="5">
        <v>102</v>
      </c>
      <c r="P77" s="5">
        <v>88</v>
      </c>
      <c r="Q77" s="5">
        <v>142644</v>
      </c>
      <c r="R77" s="5">
        <v>84</v>
      </c>
      <c r="S77" s="5">
        <v>423181</v>
      </c>
      <c r="T77" s="5">
        <v>87</v>
      </c>
      <c r="U77" t="s">
        <v>4317</v>
      </c>
      <c r="V77" s="2">
        <v>86.83</v>
      </c>
      <c r="W77" s="5">
        <f>Top_500_Movies_Ranked_by_Combined_Critics_and_Audience_Scores[[#This Row],[Critic_Rating_RT]]-Top_500_Movies_Ranked_by_Combined_Critics_and_Audience_Scores[[#This Row],[Audience_Rating]]</f>
        <v>3</v>
      </c>
      <c r="X77" s="5">
        <f>FLOOR(Top_500_Movies_Ranked_by_Combined_Critics_and_Audience_Scores[[#This Row],[Year]],10)</f>
        <v>2020</v>
      </c>
    </row>
    <row r="78" spans="1:24" x14ac:dyDescent="0.2">
      <c r="A78" s="3">
        <v>77</v>
      </c>
      <c r="B78" t="s">
        <v>844</v>
      </c>
      <c r="C78" s="5">
        <v>1988</v>
      </c>
      <c r="D78" t="s">
        <v>211</v>
      </c>
      <c r="E78" t="s">
        <v>845</v>
      </c>
      <c r="F78" t="s">
        <v>189</v>
      </c>
      <c r="G78" t="s">
        <v>848</v>
      </c>
      <c r="H78" t="s">
        <v>118</v>
      </c>
      <c r="I78" s="5">
        <v>86</v>
      </c>
      <c r="J78" s="4">
        <v>8.5</v>
      </c>
      <c r="K78" s="5">
        <v>85</v>
      </c>
      <c r="L78" s="5">
        <v>299114</v>
      </c>
      <c r="M78" s="5">
        <v>80</v>
      </c>
      <c r="N78" s="5">
        <v>81</v>
      </c>
      <c r="O78" s="5">
        <v>61</v>
      </c>
      <c r="P78" s="5">
        <v>93</v>
      </c>
      <c r="Q78" s="5">
        <v>156145</v>
      </c>
      <c r="R78" s="5">
        <v>90</v>
      </c>
      <c r="S78" s="5">
        <v>336814</v>
      </c>
      <c r="T78" s="5">
        <v>92</v>
      </c>
      <c r="U78" t="s">
        <v>75</v>
      </c>
      <c r="V78" s="2">
        <v>86.83</v>
      </c>
      <c r="W78" s="5">
        <f>Top_500_Movies_Ranked_by_Combined_Critics_and_Audience_Scores[[#This Row],[Critic_Rating_RT]]-Top_500_Movies_Ranked_by_Combined_Critics_and_Audience_Scores[[#This Row],[Audience_Rating]]</f>
        <v>-12</v>
      </c>
      <c r="X78" s="5">
        <f>FLOOR(Top_500_Movies_Ranked_by_Combined_Critics_and_Audience_Scores[[#This Row],[Year]],10)</f>
        <v>1980</v>
      </c>
    </row>
    <row r="79" spans="1:24" x14ac:dyDescent="0.2">
      <c r="A79" s="3">
        <v>78</v>
      </c>
      <c r="B79" t="s">
        <v>853</v>
      </c>
      <c r="C79" s="5">
        <v>2002</v>
      </c>
      <c r="D79" t="s">
        <v>27</v>
      </c>
      <c r="E79" t="s">
        <v>854</v>
      </c>
      <c r="F79" t="s">
        <v>856</v>
      </c>
      <c r="G79" t="s">
        <v>858</v>
      </c>
      <c r="H79" t="s">
        <v>118</v>
      </c>
      <c r="I79" s="5">
        <v>86</v>
      </c>
      <c r="J79" s="4">
        <v>8.6</v>
      </c>
      <c r="K79" s="5">
        <v>86</v>
      </c>
      <c r="L79" s="5">
        <v>832918</v>
      </c>
      <c r="M79" s="5">
        <v>79</v>
      </c>
      <c r="N79" s="5">
        <v>82</v>
      </c>
      <c r="O79" s="5">
        <v>110</v>
      </c>
      <c r="P79" s="5">
        <v>93</v>
      </c>
      <c r="Q79" s="5">
        <v>417654</v>
      </c>
      <c r="R79" s="5">
        <v>90</v>
      </c>
      <c r="S79" s="5">
        <v>747463</v>
      </c>
      <c r="T79" s="5">
        <v>91</v>
      </c>
      <c r="U79" t="s">
        <v>75</v>
      </c>
      <c r="V79" s="2">
        <v>86.83</v>
      </c>
      <c r="W79" s="5">
        <f>Top_500_Movies_Ranked_by_Combined_Critics_and_Audience_Scores[[#This Row],[Critic_Rating_RT]]-Top_500_Movies_Ranked_by_Combined_Critics_and_Audience_Scores[[#This Row],[Audience_Rating]]</f>
        <v>-11</v>
      </c>
      <c r="X79" s="5">
        <f>FLOOR(Top_500_Movies_Ranked_by_Combined_Critics_and_Audience_Scores[[#This Row],[Year]],10)</f>
        <v>2000</v>
      </c>
    </row>
    <row r="80" spans="1:24" x14ac:dyDescent="0.2">
      <c r="A80" s="3">
        <v>79</v>
      </c>
      <c r="B80" t="s">
        <v>863</v>
      </c>
      <c r="C80" s="5">
        <v>2020</v>
      </c>
      <c r="D80" t="s">
        <v>864</v>
      </c>
      <c r="E80" t="s">
        <v>865</v>
      </c>
      <c r="F80" t="s">
        <v>30</v>
      </c>
      <c r="G80" t="s">
        <v>4317</v>
      </c>
      <c r="H80" t="s">
        <v>4317</v>
      </c>
      <c r="I80" s="5">
        <v>85</v>
      </c>
      <c r="J80" s="4">
        <v>8</v>
      </c>
      <c r="K80" s="5">
        <v>80</v>
      </c>
      <c r="L80" s="5">
        <v>41605</v>
      </c>
      <c r="M80" s="5">
        <v>87</v>
      </c>
      <c r="N80" s="5">
        <v>87</v>
      </c>
      <c r="O80" s="5">
        <v>109</v>
      </c>
      <c r="P80" s="5">
        <v>95</v>
      </c>
      <c r="Q80" s="5">
        <v>45817</v>
      </c>
      <c r="R80" s="5">
        <v>84</v>
      </c>
      <c r="S80" s="5">
        <v>135079</v>
      </c>
      <c r="T80" s="5">
        <v>88</v>
      </c>
      <c r="U80" t="s">
        <v>870</v>
      </c>
      <c r="V80" s="2">
        <v>86.83</v>
      </c>
      <c r="W80" s="5">
        <f>Top_500_Movies_Ranked_by_Combined_Critics_and_Audience_Scores[[#This Row],[Critic_Rating_RT]]-Top_500_Movies_Ranked_by_Combined_Critics_and_Audience_Scores[[#This Row],[Audience_Rating]]</f>
        <v>-8</v>
      </c>
      <c r="X80" s="5">
        <f>FLOOR(Top_500_Movies_Ranked_by_Combined_Critics_and_Audience_Scores[[#This Row],[Year]],10)</f>
        <v>2020</v>
      </c>
    </row>
    <row r="81" spans="1:24" x14ac:dyDescent="0.2">
      <c r="A81" s="3">
        <v>80</v>
      </c>
      <c r="B81" t="s">
        <v>872</v>
      </c>
      <c r="C81" s="5">
        <v>1957</v>
      </c>
      <c r="D81" t="s">
        <v>80</v>
      </c>
      <c r="E81" t="s">
        <v>298</v>
      </c>
      <c r="F81" t="s">
        <v>30</v>
      </c>
      <c r="G81" t="s">
        <v>875</v>
      </c>
      <c r="H81" t="s">
        <v>53</v>
      </c>
      <c r="I81" s="5">
        <v>87</v>
      </c>
      <c r="J81" s="4">
        <v>8.1</v>
      </c>
      <c r="K81" s="5">
        <v>81</v>
      </c>
      <c r="L81" s="5">
        <v>240528</v>
      </c>
      <c r="M81" s="5">
        <v>88</v>
      </c>
      <c r="N81" s="5">
        <v>93</v>
      </c>
      <c r="O81" s="5">
        <v>64</v>
      </c>
      <c r="P81" s="5">
        <v>89</v>
      </c>
      <c r="Q81" s="5">
        <v>67210</v>
      </c>
      <c r="R81" s="5">
        <v>84</v>
      </c>
      <c r="S81" s="5">
        <v>91805</v>
      </c>
      <c r="T81" s="5">
        <v>86</v>
      </c>
      <c r="U81" t="s">
        <v>135</v>
      </c>
      <c r="V81" s="2">
        <v>86.83</v>
      </c>
      <c r="W81" s="5">
        <f>Top_500_Movies_Ranked_by_Combined_Critics_and_Audience_Scores[[#This Row],[Critic_Rating_RT]]-Top_500_Movies_Ranked_by_Combined_Critics_and_Audience_Scores[[#This Row],[Audience_Rating]]</f>
        <v>4</v>
      </c>
      <c r="X81" s="5">
        <f>FLOOR(Top_500_Movies_Ranked_by_Combined_Critics_and_Audience_Scores[[#This Row],[Year]],10)</f>
        <v>1950</v>
      </c>
    </row>
    <row r="82" spans="1:24" x14ac:dyDescent="0.2">
      <c r="A82" s="3">
        <v>81</v>
      </c>
      <c r="B82" t="s">
        <v>880</v>
      </c>
      <c r="C82" s="5">
        <v>2024</v>
      </c>
      <c r="D82" t="s">
        <v>519</v>
      </c>
      <c r="E82" t="s">
        <v>881</v>
      </c>
      <c r="F82" t="s">
        <v>856</v>
      </c>
      <c r="G82" t="s">
        <v>4317</v>
      </c>
      <c r="H82" t="s">
        <v>4317</v>
      </c>
      <c r="I82" s="5">
        <v>87</v>
      </c>
      <c r="J82" s="4">
        <v>8.4</v>
      </c>
      <c r="K82" s="5">
        <v>84</v>
      </c>
      <c r="L82" s="5">
        <v>94661</v>
      </c>
      <c r="M82" s="5">
        <v>85</v>
      </c>
      <c r="N82" s="5">
        <v>84</v>
      </c>
      <c r="O82" s="5">
        <v>106</v>
      </c>
      <c r="R82" s="5">
        <v>86</v>
      </c>
      <c r="S82" s="5">
        <v>526291</v>
      </c>
      <c r="T82" s="5">
        <v>95</v>
      </c>
      <c r="U82" t="s">
        <v>885</v>
      </c>
      <c r="V82" s="2">
        <v>86.8</v>
      </c>
      <c r="W82" s="5">
        <f>Top_500_Movies_Ranked_by_Combined_Critics_and_Audience_Scores[[#This Row],[Critic_Rating_RT]]-Top_500_Movies_Ranked_by_Combined_Critics_and_Audience_Scores[[#This Row],[Audience_Rating]]</f>
        <v>84</v>
      </c>
      <c r="X82" s="5">
        <f>FLOOR(Top_500_Movies_Ranked_by_Combined_Critics_and_Audience_Scores[[#This Row],[Year]],10)</f>
        <v>2020</v>
      </c>
    </row>
    <row r="83" spans="1:24" x14ac:dyDescent="0.2">
      <c r="A83" s="3">
        <v>82</v>
      </c>
      <c r="B83" t="s">
        <v>889</v>
      </c>
      <c r="C83" s="5">
        <v>1934</v>
      </c>
      <c r="D83" t="s">
        <v>234</v>
      </c>
      <c r="E83" t="s">
        <v>383</v>
      </c>
      <c r="F83" t="s">
        <v>30</v>
      </c>
      <c r="G83" t="s">
        <v>892</v>
      </c>
      <c r="H83" t="s">
        <v>893</v>
      </c>
      <c r="I83" s="5">
        <v>86</v>
      </c>
      <c r="J83" s="4">
        <v>8.1</v>
      </c>
      <c r="K83" s="5">
        <v>81</v>
      </c>
      <c r="L83" s="5">
        <v>116269</v>
      </c>
      <c r="M83" s="5">
        <v>87</v>
      </c>
      <c r="N83" s="5">
        <v>90</v>
      </c>
      <c r="O83" s="5">
        <v>72</v>
      </c>
      <c r="P83" s="5">
        <v>89</v>
      </c>
      <c r="Q83" s="5">
        <v>56458</v>
      </c>
      <c r="R83" s="5">
        <v>84</v>
      </c>
      <c r="S83" s="5">
        <v>101589</v>
      </c>
      <c r="T83" s="5">
        <v>89</v>
      </c>
      <c r="U83" t="s">
        <v>75</v>
      </c>
      <c r="V83" s="2">
        <v>86.67</v>
      </c>
      <c r="W83" s="5">
        <f>Top_500_Movies_Ranked_by_Combined_Critics_and_Audience_Scores[[#This Row],[Critic_Rating_RT]]-Top_500_Movies_Ranked_by_Combined_Critics_and_Audience_Scores[[#This Row],[Audience_Rating]]</f>
        <v>1</v>
      </c>
      <c r="X83" s="5">
        <f>FLOOR(Top_500_Movies_Ranked_by_Combined_Critics_and_Audience_Scores[[#This Row],[Year]],10)</f>
        <v>1930</v>
      </c>
    </row>
    <row r="84" spans="1:24" x14ac:dyDescent="0.2">
      <c r="A84" s="3">
        <v>83</v>
      </c>
      <c r="B84" t="s">
        <v>899</v>
      </c>
      <c r="C84" s="5">
        <v>1991</v>
      </c>
      <c r="D84" t="s">
        <v>900</v>
      </c>
      <c r="E84" t="s">
        <v>901</v>
      </c>
      <c r="F84" t="s">
        <v>30</v>
      </c>
      <c r="G84" t="s">
        <v>904</v>
      </c>
      <c r="H84" t="s">
        <v>626</v>
      </c>
      <c r="I84" s="5">
        <v>86</v>
      </c>
      <c r="J84" s="4">
        <v>8</v>
      </c>
      <c r="K84" s="5">
        <v>80</v>
      </c>
      <c r="L84" s="5">
        <v>491091</v>
      </c>
      <c r="M84" s="5">
        <v>95</v>
      </c>
      <c r="N84" s="5">
        <v>89</v>
      </c>
      <c r="O84" s="5">
        <v>102</v>
      </c>
      <c r="P84" s="5">
        <v>88</v>
      </c>
      <c r="Q84" s="5">
        <v>679535</v>
      </c>
      <c r="R84" s="5">
        <v>78</v>
      </c>
      <c r="S84" s="5">
        <v>640107</v>
      </c>
      <c r="T84" s="5">
        <v>90</v>
      </c>
      <c r="U84" t="s">
        <v>444</v>
      </c>
      <c r="V84" s="2">
        <v>86.67</v>
      </c>
      <c r="W84" s="5">
        <f>Top_500_Movies_Ranked_by_Combined_Critics_and_Audience_Scores[[#This Row],[Critic_Rating_RT]]-Top_500_Movies_Ranked_by_Combined_Critics_and_Audience_Scores[[#This Row],[Audience_Rating]]</f>
        <v>1</v>
      </c>
      <c r="X84" s="5">
        <f>FLOOR(Top_500_Movies_Ranked_by_Combined_Critics_and_Audience_Scores[[#This Row],[Year]],10)</f>
        <v>1990</v>
      </c>
    </row>
    <row r="85" spans="1:24" x14ac:dyDescent="0.2">
      <c r="A85" s="3">
        <v>84</v>
      </c>
      <c r="B85" t="s">
        <v>909</v>
      </c>
      <c r="C85" s="5">
        <v>2018</v>
      </c>
      <c r="D85" t="s">
        <v>910</v>
      </c>
      <c r="E85" t="s">
        <v>911</v>
      </c>
      <c r="F85" t="s">
        <v>30</v>
      </c>
      <c r="G85" t="s">
        <v>4317</v>
      </c>
      <c r="H85" t="s">
        <v>4317</v>
      </c>
      <c r="I85" s="5">
        <v>86</v>
      </c>
      <c r="J85" s="4">
        <v>8.4</v>
      </c>
      <c r="K85" s="5">
        <v>84</v>
      </c>
      <c r="L85" s="5">
        <v>723333</v>
      </c>
      <c r="M85" s="5">
        <v>87</v>
      </c>
      <c r="N85" s="5">
        <v>88</v>
      </c>
      <c r="O85" s="5">
        <v>242</v>
      </c>
      <c r="P85" s="5">
        <v>90</v>
      </c>
      <c r="Q85" s="5">
        <v>1068834</v>
      </c>
      <c r="R85" s="5">
        <v>88</v>
      </c>
      <c r="S85" s="5">
        <v>3153094</v>
      </c>
      <c r="T85" s="5">
        <v>83</v>
      </c>
      <c r="U85" t="s">
        <v>916</v>
      </c>
      <c r="V85" s="2">
        <v>86.67</v>
      </c>
      <c r="W85" s="5">
        <f>Top_500_Movies_Ranked_by_Combined_Critics_and_Audience_Scores[[#This Row],[Critic_Rating_RT]]-Top_500_Movies_Ranked_by_Combined_Critics_and_Audience_Scores[[#This Row],[Audience_Rating]]</f>
        <v>-2</v>
      </c>
      <c r="X85" s="5">
        <f>FLOOR(Top_500_Movies_Ranked_by_Combined_Critics_and_Audience_Scores[[#This Row],[Year]],10)</f>
        <v>2010</v>
      </c>
    </row>
    <row r="86" spans="1:24" x14ac:dyDescent="0.2">
      <c r="A86" s="3">
        <v>85</v>
      </c>
      <c r="B86" t="s">
        <v>4322</v>
      </c>
      <c r="C86" s="5">
        <v>1963</v>
      </c>
      <c r="D86" t="s">
        <v>65</v>
      </c>
      <c r="E86" t="s">
        <v>920</v>
      </c>
      <c r="F86" t="s">
        <v>189</v>
      </c>
      <c r="G86" t="s">
        <v>923</v>
      </c>
      <c r="H86" t="s">
        <v>924</v>
      </c>
      <c r="I86" s="5">
        <v>86</v>
      </c>
      <c r="J86" s="4">
        <v>8</v>
      </c>
      <c r="K86" s="5">
        <v>80</v>
      </c>
      <c r="L86" s="5">
        <v>128719</v>
      </c>
      <c r="M86" s="5">
        <v>93</v>
      </c>
      <c r="N86" s="5">
        <v>87</v>
      </c>
      <c r="O86" s="5">
        <v>53</v>
      </c>
      <c r="P86" s="5">
        <v>89</v>
      </c>
      <c r="Q86" s="5">
        <v>95771</v>
      </c>
      <c r="R86" s="5">
        <v>86</v>
      </c>
      <c r="S86" s="5">
        <v>196861</v>
      </c>
      <c r="T86" s="5">
        <v>85</v>
      </c>
      <c r="U86" t="s">
        <v>135</v>
      </c>
      <c r="V86" s="2">
        <v>86.67</v>
      </c>
      <c r="W86" s="5">
        <f>Top_500_Movies_Ranked_by_Combined_Critics_and_Audience_Scores[[#This Row],[Critic_Rating_RT]]-Top_500_Movies_Ranked_by_Combined_Critics_and_Audience_Scores[[#This Row],[Audience_Rating]]</f>
        <v>-2</v>
      </c>
      <c r="X86" s="5">
        <f>FLOOR(Top_500_Movies_Ranked_by_Combined_Critics_and_Audience_Scores[[#This Row],[Year]],10)</f>
        <v>1960</v>
      </c>
    </row>
    <row r="87" spans="1:24" x14ac:dyDescent="0.2">
      <c r="A87" s="3">
        <v>86</v>
      </c>
      <c r="B87" t="s">
        <v>929</v>
      </c>
      <c r="C87" s="5">
        <v>2023</v>
      </c>
      <c r="D87" t="s">
        <v>910</v>
      </c>
      <c r="E87" t="s">
        <v>930</v>
      </c>
      <c r="F87" t="s">
        <v>30</v>
      </c>
      <c r="G87" t="s">
        <v>4317</v>
      </c>
      <c r="H87" t="s">
        <v>4317</v>
      </c>
      <c r="I87" s="5">
        <v>87</v>
      </c>
      <c r="J87" s="4">
        <v>8.5</v>
      </c>
      <c r="K87" s="5">
        <v>85</v>
      </c>
      <c r="L87" s="5">
        <v>441825</v>
      </c>
      <c r="M87" s="5">
        <v>86</v>
      </c>
      <c r="N87" s="5">
        <v>86</v>
      </c>
      <c r="O87" s="5">
        <v>222</v>
      </c>
      <c r="Q87" s="5">
        <v>838214</v>
      </c>
      <c r="R87" s="5">
        <v>88</v>
      </c>
      <c r="S87" s="5">
        <v>2432408</v>
      </c>
      <c r="T87" s="5">
        <v>88</v>
      </c>
      <c r="U87" t="s">
        <v>935</v>
      </c>
      <c r="V87" s="2">
        <v>86.6</v>
      </c>
      <c r="W87" s="5">
        <f>Top_500_Movies_Ranked_by_Combined_Critics_and_Audience_Scores[[#This Row],[Critic_Rating_RT]]-Top_500_Movies_Ranked_by_Combined_Critics_and_Audience_Scores[[#This Row],[Audience_Rating]]</f>
        <v>86</v>
      </c>
      <c r="X87" s="5">
        <f>FLOOR(Top_500_Movies_Ranked_by_Combined_Critics_and_Audience_Scores[[#This Row],[Year]],10)</f>
        <v>2020</v>
      </c>
    </row>
    <row r="88" spans="1:24" x14ac:dyDescent="0.2">
      <c r="A88" s="3">
        <v>87</v>
      </c>
      <c r="B88" t="s">
        <v>939</v>
      </c>
      <c r="C88" s="5">
        <v>2024</v>
      </c>
      <c r="D88" t="s">
        <v>940</v>
      </c>
      <c r="E88" t="s">
        <v>941</v>
      </c>
      <c r="F88" t="s">
        <v>30</v>
      </c>
      <c r="G88" t="s">
        <v>4317</v>
      </c>
      <c r="H88" t="s">
        <v>4317</v>
      </c>
      <c r="I88" s="5">
        <v>87</v>
      </c>
      <c r="J88" s="4">
        <v>8.1999999999999993</v>
      </c>
      <c r="K88" s="5">
        <v>82</v>
      </c>
      <c r="L88" s="5">
        <v>151761</v>
      </c>
      <c r="M88" s="5">
        <v>85</v>
      </c>
      <c r="N88" s="5">
        <v>84</v>
      </c>
      <c r="O88" s="5">
        <v>143</v>
      </c>
      <c r="R88" s="5">
        <v>84</v>
      </c>
      <c r="S88" s="5">
        <v>807351</v>
      </c>
      <c r="T88" s="5">
        <v>98</v>
      </c>
      <c r="U88" t="s">
        <v>945</v>
      </c>
      <c r="V88" s="2">
        <v>86.6</v>
      </c>
      <c r="W88" s="5">
        <f>Top_500_Movies_Ranked_by_Combined_Critics_and_Audience_Scores[[#This Row],[Critic_Rating_RT]]-Top_500_Movies_Ranked_by_Combined_Critics_and_Audience_Scores[[#This Row],[Audience_Rating]]</f>
        <v>84</v>
      </c>
      <c r="X88" s="5">
        <f>FLOOR(Top_500_Movies_Ranked_by_Combined_Critics_and_Audience_Scores[[#This Row],[Year]],10)</f>
        <v>2020</v>
      </c>
    </row>
    <row r="89" spans="1:24" x14ac:dyDescent="0.2">
      <c r="A89" s="3">
        <v>88</v>
      </c>
      <c r="B89" t="s">
        <v>948</v>
      </c>
      <c r="C89" s="5">
        <v>1939</v>
      </c>
      <c r="D89" t="s">
        <v>949</v>
      </c>
      <c r="E89" t="s">
        <v>950</v>
      </c>
      <c r="F89" t="s">
        <v>30</v>
      </c>
      <c r="G89" t="s">
        <v>953</v>
      </c>
      <c r="H89" t="s">
        <v>954</v>
      </c>
      <c r="I89" s="5">
        <v>86</v>
      </c>
      <c r="J89" s="4">
        <v>8.1999999999999993</v>
      </c>
      <c r="K89" s="5">
        <v>82</v>
      </c>
      <c r="L89" s="5">
        <v>344610</v>
      </c>
      <c r="M89" s="5">
        <v>97</v>
      </c>
      <c r="N89" s="5">
        <v>90</v>
      </c>
      <c r="O89" s="5">
        <v>66</v>
      </c>
      <c r="P89" s="5">
        <v>88</v>
      </c>
      <c r="Q89" s="5">
        <v>259241</v>
      </c>
      <c r="R89" s="5">
        <v>78</v>
      </c>
      <c r="S89" s="5">
        <v>189395</v>
      </c>
      <c r="T89" s="5">
        <v>84</v>
      </c>
      <c r="U89" t="s">
        <v>60</v>
      </c>
      <c r="V89" s="2">
        <v>86.5</v>
      </c>
      <c r="W89" s="5">
        <f>Top_500_Movies_Ranked_by_Combined_Critics_and_Audience_Scores[[#This Row],[Critic_Rating_RT]]-Top_500_Movies_Ranked_by_Combined_Critics_and_Audience_Scores[[#This Row],[Audience_Rating]]</f>
        <v>2</v>
      </c>
      <c r="X89" s="5">
        <f>FLOOR(Top_500_Movies_Ranked_by_Combined_Critics_and_Audience_Scores[[#This Row],[Year]],10)</f>
        <v>1930</v>
      </c>
    </row>
    <row r="90" spans="1:24" x14ac:dyDescent="0.2">
      <c r="A90" s="3">
        <v>89</v>
      </c>
      <c r="B90" t="s">
        <v>960</v>
      </c>
      <c r="C90" s="5">
        <v>1969</v>
      </c>
      <c r="D90" t="s">
        <v>186</v>
      </c>
      <c r="E90" t="s">
        <v>961</v>
      </c>
      <c r="F90" t="s">
        <v>30</v>
      </c>
      <c r="G90" t="s">
        <v>964</v>
      </c>
      <c r="H90" t="s">
        <v>216</v>
      </c>
      <c r="I90" s="5">
        <v>86</v>
      </c>
      <c r="J90" s="4">
        <v>7.9</v>
      </c>
      <c r="K90" s="5">
        <v>79</v>
      </c>
      <c r="L90" s="5">
        <v>92654</v>
      </c>
      <c r="M90" s="5">
        <v>98</v>
      </c>
      <c r="N90" s="5">
        <v>91</v>
      </c>
      <c r="O90" s="5">
        <v>54</v>
      </c>
      <c r="P90" s="5">
        <v>87</v>
      </c>
      <c r="Q90" s="5">
        <v>43809</v>
      </c>
      <c r="R90" s="5">
        <v>82</v>
      </c>
      <c r="S90" s="5">
        <v>62739</v>
      </c>
      <c r="T90" s="5">
        <v>82</v>
      </c>
      <c r="U90" t="s">
        <v>75</v>
      </c>
      <c r="V90" s="2">
        <v>86.5</v>
      </c>
      <c r="W90" s="5">
        <f>Top_500_Movies_Ranked_by_Combined_Critics_and_Audience_Scores[[#This Row],[Critic_Rating_RT]]-Top_500_Movies_Ranked_by_Combined_Critics_and_Audience_Scores[[#This Row],[Audience_Rating]]</f>
        <v>4</v>
      </c>
      <c r="X90" s="5">
        <f>FLOOR(Top_500_Movies_Ranked_by_Combined_Critics_and_Audience_Scores[[#This Row],[Year]],10)</f>
        <v>1960</v>
      </c>
    </row>
    <row r="91" spans="1:24" x14ac:dyDescent="0.2">
      <c r="A91" s="3">
        <v>90</v>
      </c>
      <c r="B91" t="s">
        <v>969</v>
      </c>
      <c r="C91" s="5">
        <v>2000</v>
      </c>
      <c r="D91" t="s">
        <v>211</v>
      </c>
      <c r="E91" t="s">
        <v>970</v>
      </c>
      <c r="F91" t="s">
        <v>972</v>
      </c>
      <c r="G91" t="s">
        <v>974</v>
      </c>
      <c r="H91" t="s">
        <v>975</v>
      </c>
      <c r="I91" s="5">
        <v>85</v>
      </c>
      <c r="J91" s="4">
        <v>8.1</v>
      </c>
      <c r="K91" s="5">
        <v>81</v>
      </c>
      <c r="L91" s="5">
        <v>175775</v>
      </c>
      <c r="M91" s="5">
        <v>87</v>
      </c>
      <c r="N91" s="5">
        <v>82</v>
      </c>
      <c r="O91" s="5">
        <v>87</v>
      </c>
      <c r="P91" s="5">
        <v>90</v>
      </c>
      <c r="Q91" s="5">
        <v>251393</v>
      </c>
      <c r="R91" s="5">
        <v>88</v>
      </c>
      <c r="S91" s="5">
        <v>645707</v>
      </c>
      <c r="T91" s="5">
        <v>91</v>
      </c>
      <c r="U91" t="s">
        <v>978</v>
      </c>
      <c r="V91" s="2">
        <v>86.5</v>
      </c>
      <c r="W91" s="5">
        <f>Top_500_Movies_Ranked_by_Combined_Critics_and_Audience_Scores[[#This Row],[Critic_Rating_RT]]-Top_500_Movies_Ranked_by_Combined_Critics_and_Audience_Scores[[#This Row],[Audience_Rating]]</f>
        <v>-8</v>
      </c>
      <c r="X91" s="5">
        <f>FLOOR(Top_500_Movies_Ranked_by_Combined_Critics_and_Audience_Scores[[#This Row],[Year]],10)</f>
        <v>2000</v>
      </c>
    </row>
    <row r="92" spans="1:24" x14ac:dyDescent="0.2">
      <c r="A92" s="3">
        <v>91</v>
      </c>
      <c r="B92" t="s">
        <v>981</v>
      </c>
      <c r="C92" s="5">
        <v>2010</v>
      </c>
      <c r="D92" t="s">
        <v>982</v>
      </c>
      <c r="E92" t="s">
        <v>983</v>
      </c>
      <c r="F92" t="s">
        <v>30</v>
      </c>
      <c r="G92" t="s">
        <v>986</v>
      </c>
      <c r="H92" t="s">
        <v>145</v>
      </c>
      <c r="I92" s="5">
        <v>86</v>
      </c>
      <c r="J92" s="4">
        <v>8.3000000000000007</v>
      </c>
      <c r="K92" s="5">
        <v>83</v>
      </c>
      <c r="L92" s="5">
        <v>926157</v>
      </c>
      <c r="M92" s="5">
        <v>92</v>
      </c>
      <c r="N92" s="5">
        <v>90</v>
      </c>
      <c r="O92" s="5">
        <v>218</v>
      </c>
      <c r="P92" s="5">
        <v>86</v>
      </c>
      <c r="Q92" s="5">
        <v>796262</v>
      </c>
      <c r="R92" s="5">
        <v>80</v>
      </c>
      <c r="S92" s="5">
        <v>1171417</v>
      </c>
      <c r="T92" s="5">
        <v>88</v>
      </c>
      <c r="U92" t="s">
        <v>444</v>
      </c>
      <c r="V92" s="2">
        <v>86.5</v>
      </c>
      <c r="W92" s="5">
        <f>Top_500_Movies_Ranked_by_Combined_Critics_and_Audience_Scores[[#This Row],[Critic_Rating_RT]]-Top_500_Movies_Ranked_by_Combined_Critics_and_Audience_Scores[[#This Row],[Audience_Rating]]</f>
        <v>4</v>
      </c>
      <c r="X92" s="5">
        <f>FLOOR(Top_500_Movies_Ranked_by_Combined_Critics_and_Audience_Scores[[#This Row],[Year]],10)</f>
        <v>2010</v>
      </c>
    </row>
    <row r="93" spans="1:24" x14ac:dyDescent="0.2">
      <c r="A93" s="3">
        <v>92</v>
      </c>
      <c r="B93" t="s">
        <v>991</v>
      </c>
      <c r="C93" s="5">
        <v>1998</v>
      </c>
      <c r="D93" t="s">
        <v>992</v>
      </c>
      <c r="E93" t="s">
        <v>993</v>
      </c>
      <c r="F93" t="s">
        <v>30</v>
      </c>
      <c r="G93" t="s">
        <v>996</v>
      </c>
      <c r="H93" t="s">
        <v>33</v>
      </c>
      <c r="I93" s="5">
        <v>86</v>
      </c>
      <c r="J93" s="4">
        <v>8.1999999999999993</v>
      </c>
      <c r="K93" s="5">
        <v>82</v>
      </c>
      <c r="L93" s="5">
        <v>1267347</v>
      </c>
      <c r="M93" s="5">
        <v>90</v>
      </c>
      <c r="N93" s="5">
        <v>86</v>
      </c>
      <c r="O93" s="5">
        <v>108</v>
      </c>
      <c r="P93" s="5">
        <v>87</v>
      </c>
      <c r="Q93" s="5">
        <v>1350393</v>
      </c>
      <c r="R93" s="5">
        <v>84</v>
      </c>
      <c r="S93" s="5">
        <v>2880682</v>
      </c>
      <c r="T93" s="5">
        <v>90</v>
      </c>
      <c r="U93" t="s">
        <v>780</v>
      </c>
      <c r="V93" s="2">
        <v>86.5</v>
      </c>
      <c r="W93" s="5">
        <f>Top_500_Movies_Ranked_by_Combined_Critics_and_Audience_Scores[[#This Row],[Critic_Rating_RT]]-Top_500_Movies_Ranked_by_Combined_Critics_and_Audience_Scores[[#This Row],[Audience_Rating]]</f>
        <v>-1</v>
      </c>
      <c r="X93" s="5">
        <f>FLOOR(Top_500_Movies_Ranked_by_Combined_Critics_and_Audience_Scores[[#This Row],[Year]],10)</f>
        <v>1990</v>
      </c>
    </row>
    <row r="94" spans="1:24" x14ac:dyDescent="0.2">
      <c r="A94" s="3">
        <v>93</v>
      </c>
      <c r="B94" t="s">
        <v>1001</v>
      </c>
      <c r="C94" s="5">
        <v>1996</v>
      </c>
      <c r="D94" t="s">
        <v>571</v>
      </c>
      <c r="E94" t="s">
        <v>1002</v>
      </c>
      <c r="F94" t="s">
        <v>30</v>
      </c>
      <c r="G94" t="s">
        <v>1005</v>
      </c>
      <c r="H94" t="s">
        <v>239</v>
      </c>
      <c r="I94" s="5">
        <v>86</v>
      </c>
      <c r="J94" s="4">
        <v>8.1</v>
      </c>
      <c r="K94" s="5">
        <v>81</v>
      </c>
      <c r="L94" s="5">
        <v>751771</v>
      </c>
      <c r="M94" s="5">
        <v>88</v>
      </c>
      <c r="N94" s="5">
        <v>88</v>
      </c>
      <c r="O94" s="5">
        <v>72</v>
      </c>
      <c r="P94" s="5">
        <v>89</v>
      </c>
      <c r="Q94" s="5">
        <v>470077</v>
      </c>
      <c r="R94" s="5">
        <v>84</v>
      </c>
      <c r="S94" s="5">
        <v>939939</v>
      </c>
      <c r="T94" s="5">
        <v>89</v>
      </c>
      <c r="U94" t="s">
        <v>75</v>
      </c>
      <c r="V94" s="2">
        <v>86.5</v>
      </c>
      <c r="W94" s="5">
        <f>Top_500_Movies_Ranked_by_Combined_Critics_and_Audience_Scores[[#This Row],[Critic_Rating_RT]]-Top_500_Movies_Ranked_by_Combined_Critics_and_Audience_Scores[[#This Row],[Audience_Rating]]</f>
        <v>-1</v>
      </c>
      <c r="X94" s="5">
        <f>FLOOR(Top_500_Movies_Ranked_by_Combined_Critics_and_Audience_Scores[[#This Row],[Year]],10)</f>
        <v>1990</v>
      </c>
    </row>
    <row r="95" spans="1:24" x14ac:dyDescent="0.2">
      <c r="A95" s="3">
        <v>94</v>
      </c>
      <c r="B95" t="s">
        <v>1010</v>
      </c>
      <c r="C95" s="5">
        <v>2018</v>
      </c>
      <c r="D95" t="s">
        <v>1011</v>
      </c>
      <c r="E95" t="s">
        <v>1012</v>
      </c>
      <c r="F95" t="s">
        <v>50</v>
      </c>
      <c r="G95" t="s">
        <v>4317</v>
      </c>
      <c r="H95" t="s">
        <v>4317</v>
      </c>
      <c r="I95" s="5">
        <v>86</v>
      </c>
      <c r="J95" s="4">
        <v>7.9</v>
      </c>
      <c r="K95" s="5">
        <v>79</v>
      </c>
      <c r="L95" s="5">
        <v>91034</v>
      </c>
      <c r="M95" s="5">
        <v>93</v>
      </c>
      <c r="N95" s="5">
        <v>89</v>
      </c>
      <c r="O95" s="5">
        <v>147</v>
      </c>
      <c r="P95" s="5">
        <v>88</v>
      </c>
      <c r="Q95" s="5">
        <v>83143</v>
      </c>
      <c r="R95" s="5">
        <v>86</v>
      </c>
      <c r="S95" s="5">
        <v>244423</v>
      </c>
      <c r="T95" s="5">
        <v>84</v>
      </c>
      <c r="U95" t="s">
        <v>75</v>
      </c>
      <c r="V95" s="2">
        <v>86.5</v>
      </c>
      <c r="W95" s="5">
        <f>Top_500_Movies_Ranked_by_Combined_Critics_and_Audience_Scores[[#This Row],[Critic_Rating_RT]]-Top_500_Movies_Ranked_by_Combined_Critics_and_Audience_Scores[[#This Row],[Audience_Rating]]</f>
        <v>1</v>
      </c>
      <c r="X95" s="5">
        <f>FLOOR(Top_500_Movies_Ranked_by_Combined_Critics_and_Audience_Scores[[#This Row],[Year]],10)</f>
        <v>2010</v>
      </c>
    </row>
    <row r="96" spans="1:24" x14ac:dyDescent="0.2">
      <c r="A96" s="3">
        <v>95</v>
      </c>
      <c r="B96" t="s">
        <v>1019</v>
      </c>
      <c r="C96" s="5">
        <v>2007</v>
      </c>
      <c r="D96" t="s">
        <v>571</v>
      </c>
      <c r="E96" t="s">
        <v>1020</v>
      </c>
      <c r="F96" t="s">
        <v>30</v>
      </c>
      <c r="G96" t="s">
        <v>1023</v>
      </c>
      <c r="H96" t="s">
        <v>118</v>
      </c>
      <c r="I96" s="5">
        <v>87</v>
      </c>
      <c r="J96" s="4">
        <v>8.1999999999999993</v>
      </c>
      <c r="K96" s="5">
        <v>82</v>
      </c>
      <c r="L96" s="5">
        <v>1113836</v>
      </c>
      <c r="M96" s="5">
        <v>92</v>
      </c>
      <c r="N96" s="5">
        <v>89</v>
      </c>
      <c r="O96" s="5">
        <v>206</v>
      </c>
      <c r="P96" s="5">
        <v>84</v>
      </c>
      <c r="Q96" s="5">
        <v>743270</v>
      </c>
      <c r="R96" s="5">
        <v>86</v>
      </c>
      <c r="S96" s="5">
        <v>1428294</v>
      </c>
      <c r="T96" s="5">
        <v>85</v>
      </c>
      <c r="U96" t="s">
        <v>1026</v>
      </c>
      <c r="V96" s="2">
        <v>86.33</v>
      </c>
      <c r="W96" s="5">
        <f>Top_500_Movies_Ranked_by_Combined_Critics_and_Audience_Scores[[#This Row],[Critic_Rating_RT]]-Top_500_Movies_Ranked_by_Combined_Critics_and_Audience_Scores[[#This Row],[Audience_Rating]]</f>
        <v>5</v>
      </c>
      <c r="X96" s="5">
        <f>FLOOR(Top_500_Movies_Ranked_by_Combined_Critics_and_Audience_Scores[[#This Row],[Year]],10)</f>
        <v>2000</v>
      </c>
    </row>
    <row r="97" spans="1:24" x14ac:dyDescent="0.2">
      <c r="A97" s="3">
        <v>96</v>
      </c>
      <c r="B97" t="s">
        <v>1030</v>
      </c>
      <c r="C97" s="5">
        <v>1986</v>
      </c>
      <c r="D97" t="s">
        <v>1031</v>
      </c>
      <c r="E97" t="s">
        <v>1032</v>
      </c>
      <c r="F97" t="s">
        <v>30</v>
      </c>
      <c r="G97" t="s">
        <v>1035</v>
      </c>
      <c r="H97" t="s">
        <v>1036</v>
      </c>
      <c r="I97" s="5">
        <v>86</v>
      </c>
      <c r="J97" s="4">
        <v>8.4</v>
      </c>
      <c r="K97" s="5">
        <v>84</v>
      </c>
      <c r="L97" s="5">
        <v>804533</v>
      </c>
      <c r="M97" s="5">
        <v>84</v>
      </c>
      <c r="N97" s="5">
        <v>88</v>
      </c>
      <c r="O97" s="5">
        <v>99</v>
      </c>
      <c r="P97" s="5">
        <v>90</v>
      </c>
      <c r="Q97" s="5">
        <v>516707</v>
      </c>
      <c r="R97" s="5">
        <v>82</v>
      </c>
      <c r="S97" s="5">
        <v>687721</v>
      </c>
      <c r="T97" s="5">
        <v>90</v>
      </c>
      <c r="U97" t="s">
        <v>555</v>
      </c>
      <c r="V97" s="2">
        <v>86.33</v>
      </c>
      <c r="W97" s="5">
        <f>Top_500_Movies_Ranked_by_Combined_Critics_and_Audience_Scores[[#This Row],[Critic_Rating_RT]]-Top_500_Movies_Ranked_by_Combined_Critics_and_Audience_Scores[[#This Row],[Audience_Rating]]</f>
        <v>-2</v>
      </c>
      <c r="X97" s="5">
        <f>FLOOR(Top_500_Movies_Ranked_by_Combined_Critics_and_Audience_Scores[[#This Row],[Year]],10)</f>
        <v>1980</v>
      </c>
    </row>
    <row r="98" spans="1:24" x14ac:dyDescent="0.2">
      <c r="A98" s="3">
        <v>97</v>
      </c>
      <c r="B98" t="s">
        <v>1041</v>
      </c>
      <c r="C98" s="5">
        <v>1960</v>
      </c>
      <c r="D98" t="s">
        <v>992</v>
      </c>
      <c r="E98" t="s">
        <v>920</v>
      </c>
      <c r="F98" t="s">
        <v>189</v>
      </c>
      <c r="G98" t="s">
        <v>1044</v>
      </c>
      <c r="H98" t="s">
        <v>1045</v>
      </c>
      <c r="I98" s="5">
        <v>86</v>
      </c>
      <c r="J98" s="4">
        <v>8</v>
      </c>
      <c r="K98" s="5">
        <v>80</v>
      </c>
      <c r="L98" s="5">
        <v>82147</v>
      </c>
      <c r="M98" s="5">
        <v>95</v>
      </c>
      <c r="N98" s="5">
        <v>92</v>
      </c>
      <c r="O98" s="5">
        <v>66</v>
      </c>
      <c r="P98" s="5">
        <v>87</v>
      </c>
      <c r="Q98" s="5">
        <v>62176</v>
      </c>
      <c r="R98" s="5">
        <v>86</v>
      </c>
      <c r="S98" s="5">
        <v>118064</v>
      </c>
      <c r="T98" s="5">
        <v>78</v>
      </c>
      <c r="U98" t="s">
        <v>4317</v>
      </c>
      <c r="V98" s="2">
        <v>86.33</v>
      </c>
      <c r="W98" s="5">
        <f>Top_500_Movies_Ranked_by_Combined_Critics_and_Audience_Scores[[#This Row],[Critic_Rating_RT]]-Top_500_Movies_Ranked_by_Combined_Critics_and_Audience_Scores[[#This Row],[Audience_Rating]]</f>
        <v>5</v>
      </c>
      <c r="X98" s="5">
        <f>FLOOR(Top_500_Movies_Ranked_by_Combined_Critics_and_Audience_Scores[[#This Row],[Year]],10)</f>
        <v>1960</v>
      </c>
    </row>
    <row r="99" spans="1:24" x14ac:dyDescent="0.2">
      <c r="A99" s="3">
        <v>98</v>
      </c>
      <c r="B99" t="s">
        <v>1050</v>
      </c>
      <c r="C99" s="5">
        <v>1968</v>
      </c>
      <c r="D99" t="s">
        <v>1051</v>
      </c>
      <c r="E99" t="s">
        <v>187</v>
      </c>
      <c r="F99" t="s">
        <v>189</v>
      </c>
      <c r="G99" t="s">
        <v>1054</v>
      </c>
      <c r="H99" t="s">
        <v>33</v>
      </c>
      <c r="I99" s="5">
        <v>86</v>
      </c>
      <c r="J99" s="4">
        <v>8.5</v>
      </c>
      <c r="K99" s="5">
        <v>85</v>
      </c>
      <c r="L99" s="5">
        <v>365674</v>
      </c>
      <c r="M99" s="5">
        <v>82</v>
      </c>
      <c r="N99" s="5">
        <v>89</v>
      </c>
      <c r="O99" s="5">
        <v>61</v>
      </c>
      <c r="P99" s="5">
        <v>92</v>
      </c>
      <c r="Q99" s="5">
        <v>112953</v>
      </c>
      <c r="R99" s="5">
        <v>88</v>
      </c>
      <c r="S99" s="5">
        <v>206571</v>
      </c>
      <c r="T99" s="5">
        <v>82</v>
      </c>
      <c r="U99" t="s">
        <v>42</v>
      </c>
      <c r="V99" s="2">
        <v>86.33</v>
      </c>
      <c r="W99" s="5">
        <f>Top_500_Movies_Ranked_by_Combined_Critics_and_Audience_Scores[[#This Row],[Critic_Rating_RT]]-Top_500_Movies_Ranked_by_Combined_Critics_and_Audience_Scores[[#This Row],[Audience_Rating]]</f>
        <v>-3</v>
      </c>
      <c r="X99" s="5">
        <f>FLOOR(Top_500_Movies_Ranked_by_Combined_Critics_and_Audience_Scores[[#This Row],[Year]],10)</f>
        <v>1960</v>
      </c>
    </row>
    <row r="100" spans="1:24" x14ac:dyDescent="0.2">
      <c r="A100" s="3">
        <v>99</v>
      </c>
      <c r="B100" t="s">
        <v>1059</v>
      </c>
      <c r="C100" s="5">
        <v>1926</v>
      </c>
      <c r="D100" t="s">
        <v>1060</v>
      </c>
      <c r="E100" t="s">
        <v>1061</v>
      </c>
      <c r="F100" t="s">
        <v>30</v>
      </c>
      <c r="G100" t="s">
        <v>1064</v>
      </c>
      <c r="H100" t="s">
        <v>1065</v>
      </c>
      <c r="I100" s="5">
        <v>86</v>
      </c>
      <c r="J100" s="4">
        <v>8.1</v>
      </c>
      <c r="K100" s="5">
        <v>81</v>
      </c>
      <c r="L100" s="5">
        <v>101941</v>
      </c>
      <c r="N100" s="5">
        <v>93</v>
      </c>
      <c r="O100" s="5">
        <v>52</v>
      </c>
      <c r="P100" s="5">
        <v>89</v>
      </c>
      <c r="Q100" s="5">
        <v>36906</v>
      </c>
      <c r="R100" s="5">
        <v>84</v>
      </c>
      <c r="S100" s="5">
        <v>87490</v>
      </c>
      <c r="T100" s="5">
        <v>84</v>
      </c>
      <c r="U100" t="s">
        <v>660</v>
      </c>
      <c r="V100" s="2">
        <v>86.2</v>
      </c>
      <c r="W100" s="5">
        <f>Top_500_Movies_Ranked_by_Combined_Critics_and_Audience_Scores[[#This Row],[Critic_Rating_RT]]-Top_500_Movies_Ranked_by_Combined_Critics_and_Audience_Scores[[#This Row],[Audience_Rating]]</f>
        <v>4</v>
      </c>
      <c r="X100" s="5">
        <f>FLOOR(Top_500_Movies_Ranked_by_Combined_Critics_and_Audience_Scores[[#This Row],[Year]],10)</f>
        <v>1920</v>
      </c>
    </row>
    <row r="101" spans="1:24" x14ac:dyDescent="0.2">
      <c r="A101" s="3">
        <v>100</v>
      </c>
      <c r="B101" t="s">
        <v>1071</v>
      </c>
      <c r="C101" s="5">
        <v>1972</v>
      </c>
      <c r="D101" t="s">
        <v>1072</v>
      </c>
      <c r="E101" t="s">
        <v>1073</v>
      </c>
      <c r="F101" t="s">
        <v>1075</v>
      </c>
      <c r="G101" t="s">
        <v>1077</v>
      </c>
      <c r="H101" t="s">
        <v>1078</v>
      </c>
      <c r="I101" s="5">
        <v>86</v>
      </c>
      <c r="J101" s="4">
        <v>7.9</v>
      </c>
      <c r="K101" s="5">
        <v>79</v>
      </c>
      <c r="L101" s="5">
        <v>101413</v>
      </c>
      <c r="M101" s="5">
        <v>93</v>
      </c>
      <c r="N101" s="5">
        <v>88</v>
      </c>
      <c r="O101" s="5">
        <v>62</v>
      </c>
      <c r="P101" s="5">
        <v>87</v>
      </c>
      <c r="Q101" s="5">
        <v>71458</v>
      </c>
      <c r="R101" s="5">
        <v>84</v>
      </c>
      <c r="S101" s="5">
        <v>159749</v>
      </c>
      <c r="T101" s="5">
        <v>86</v>
      </c>
      <c r="U101" t="s">
        <v>135</v>
      </c>
      <c r="V101" s="2">
        <v>86.17</v>
      </c>
      <c r="W101" s="5">
        <f>Top_500_Movies_Ranked_by_Combined_Critics_and_Audience_Scores[[#This Row],[Critic_Rating_RT]]-Top_500_Movies_Ranked_by_Combined_Critics_and_Audience_Scores[[#This Row],[Audience_Rating]]</f>
        <v>1</v>
      </c>
      <c r="X101" s="5">
        <f>FLOOR(Top_500_Movies_Ranked_by_Combined_Critics_and_Audience_Scores[[#This Row],[Year]],10)</f>
        <v>1970</v>
      </c>
    </row>
    <row r="102" spans="1:24" x14ac:dyDescent="0.2">
      <c r="A102" s="3">
        <v>101</v>
      </c>
      <c r="B102" t="s">
        <v>1084</v>
      </c>
      <c r="C102" s="5">
        <v>1986</v>
      </c>
      <c r="D102" t="s">
        <v>1085</v>
      </c>
      <c r="E102" t="s">
        <v>1086</v>
      </c>
      <c r="F102" t="s">
        <v>30</v>
      </c>
      <c r="G102" t="s">
        <v>1089</v>
      </c>
      <c r="H102" t="s">
        <v>1090</v>
      </c>
      <c r="I102" s="5">
        <v>85</v>
      </c>
      <c r="J102" s="4">
        <v>8.1</v>
      </c>
      <c r="K102" s="5">
        <v>81</v>
      </c>
      <c r="L102" s="5">
        <v>453374</v>
      </c>
      <c r="M102" s="5">
        <v>92</v>
      </c>
      <c r="N102" s="5">
        <v>87</v>
      </c>
      <c r="O102" s="5">
        <v>77</v>
      </c>
      <c r="P102" s="5">
        <v>89</v>
      </c>
      <c r="Q102" s="5">
        <v>242805</v>
      </c>
      <c r="R102" s="5">
        <v>80</v>
      </c>
      <c r="S102" s="5">
        <v>247515</v>
      </c>
      <c r="T102" s="5">
        <v>88</v>
      </c>
      <c r="U102" t="s">
        <v>253</v>
      </c>
      <c r="V102" s="2">
        <v>86.17</v>
      </c>
      <c r="W102" s="5">
        <f>Top_500_Movies_Ranked_by_Combined_Critics_and_Audience_Scores[[#This Row],[Critic_Rating_RT]]-Top_500_Movies_Ranked_by_Combined_Critics_and_Audience_Scores[[#This Row],[Audience_Rating]]</f>
        <v>-2</v>
      </c>
      <c r="X102" s="5">
        <f>FLOOR(Top_500_Movies_Ranked_by_Combined_Critics_and_Audience_Scores[[#This Row],[Year]],10)</f>
        <v>1980</v>
      </c>
    </row>
    <row r="103" spans="1:24" x14ac:dyDescent="0.2">
      <c r="A103" s="3">
        <v>102</v>
      </c>
      <c r="B103" t="s">
        <v>1094</v>
      </c>
      <c r="C103" s="5">
        <v>2015</v>
      </c>
      <c r="D103" t="s">
        <v>519</v>
      </c>
      <c r="E103" t="s">
        <v>1095</v>
      </c>
      <c r="F103" t="s">
        <v>30</v>
      </c>
      <c r="G103" t="s">
        <v>1064</v>
      </c>
      <c r="H103" t="s">
        <v>1098</v>
      </c>
      <c r="I103" s="5">
        <v>85</v>
      </c>
      <c r="J103" s="4">
        <v>8.1</v>
      </c>
      <c r="K103" s="5">
        <v>81</v>
      </c>
      <c r="L103" s="5">
        <v>516632</v>
      </c>
      <c r="M103" s="5">
        <v>93</v>
      </c>
      <c r="N103" s="5">
        <v>89</v>
      </c>
      <c r="O103" s="5">
        <v>226</v>
      </c>
      <c r="P103" s="5">
        <v>89</v>
      </c>
      <c r="Q103" s="5">
        <v>208496</v>
      </c>
      <c r="R103" s="5">
        <v>82</v>
      </c>
      <c r="S103" s="5">
        <v>483396</v>
      </c>
      <c r="T103" s="5">
        <v>83</v>
      </c>
      <c r="U103" t="s">
        <v>135</v>
      </c>
      <c r="V103" s="2">
        <v>86.17</v>
      </c>
      <c r="W103" s="5">
        <f>Top_500_Movies_Ranked_by_Combined_Critics_and_Audience_Scores[[#This Row],[Critic_Rating_RT]]-Top_500_Movies_Ranked_by_Combined_Critics_and_Audience_Scores[[#This Row],[Audience_Rating]]</f>
        <v>0</v>
      </c>
      <c r="X103" s="5">
        <f>FLOOR(Top_500_Movies_Ranked_by_Combined_Critics_and_Audience_Scores[[#This Row],[Year]],10)</f>
        <v>2010</v>
      </c>
    </row>
    <row r="104" spans="1:24" x14ac:dyDescent="0.2">
      <c r="A104" s="3">
        <v>103</v>
      </c>
      <c r="B104" t="s">
        <v>1103</v>
      </c>
      <c r="C104" s="5">
        <v>1994</v>
      </c>
      <c r="D104" t="s">
        <v>126</v>
      </c>
      <c r="E104" t="s">
        <v>584</v>
      </c>
      <c r="F104" t="s">
        <v>30</v>
      </c>
      <c r="G104" t="s">
        <v>1106</v>
      </c>
      <c r="H104" t="s">
        <v>33</v>
      </c>
      <c r="I104" s="5">
        <v>85</v>
      </c>
      <c r="J104" s="4">
        <v>8.8000000000000007</v>
      </c>
      <c r="K104" s="5">
        <v>88</v>
      </c>
      <c r="L104" s="5">
        <v>2362620</v>
      </c>
      <c r="M104" s="5">
        <v>82</v>
      </c>
      <c r="N104" s="5">
        <v>79</v>
      </c>
      <c r="O104" s="5">
        <v>87</v>
      </c>
      <c r="P104" s="5">
        <v>92</v>
      </c>
      <c r="Q104" s="5">
        <v>1666500</v>
      </c>
      <c r="R104" s="5">
        <v>82</v>
      </c>
      <c r="S104" s="5">
        <v>2511027</v>
      </c>
      <c r="T104" s="5">
        <v>94</v>
      </c>
      <c r="U104" t="s">
        <v>42</v>
      </c>
      <c r="V104" s="2">
        <v>86.17</v>
      </c>
      <c r="W104" s="5">
        <f>Top_500_Movies_Ranked_by_Combined_Critics_and_Audience_Scores[[#This Row],[Critic_Rating_RT]]-Top_500_Movies_Ranked_by_Combined_Critics_and_Audience_Scores[[#This Row],[Audience_Rating]]</f>
        <v>-13</v>
      </c>
      <c r="X104" s="5">
        <f>FLOOR(Top_500_Movies_Ranked_by_Combined_Critics_and_Audience_Scores[[#This Row],[Year]],10)</f>
        <v>1990</v>
      </c>
    </row>
    <row r="105" spans="1:24" x14ac:dyDescent="0.2">
      <c r="A105" s="3">
        <v>104</v>
      </c>
      <c r="B105" t="s">
        <v>1111</v>
      </c>
      <c r="C105" s="5">
        <v>2016</v>
      </c>
      <c r="D105" t="s">
        <v>1112</v>
      </c>
      <c r="E105" t="s">
        <v>1113</v>
      </c>
      <c r="F105" t="s">
        <v>50</v>
      </c>
      <c r="G105" t="s">
        <v>4317</v>
      </c>
      <c r="H105" t="s">
        <v>4317</v>
      </c>
      <c r="I105" s="5">
        <v>85</v>
      </c>
      <c r="J105" s="4">
        <v>8.4</v>
      </c>
      <c r="K105" s="5">
        <v>84</v>
      </c>
      <c r="L105" s="5">
        <v>352028</v>
      </c>
      <c r="M105" s="5">
        <v>81</v>
      </c>
      <c r="N105" s="5">
        <v>82</v>
      </c>
      <c r="O105" s="5">
        <v>94</v>
      </c>
      <c r="P105" s="5">
        <v>91</v>
      </c>
      <c r="Q105" s="5">
        <v>346957</v>
      </c>
      <c r="R105" s="5">
        <v>84</v>
      </c>
      <c r="S105" s="5">
        <v>1014115</v>
      </c>
      <c r="T105" s="5">
        <v>95</v>
      </c>
      <c r="U105" t="s">
        <v>75</v>
      </c>
      <c r="V105" s="2">
        <v>86.17</v>
      </c>
      <c r="W105" s="5">
        <f>Top_500_Movies_Ranked_by_Combined_Critics_and_Audience_Scores[[#This Row],[Critic_Rating_RT]]-Top_500_Movies_Ranked_by_Combined_Critics_and_Audience_Scores[[#This Row],[Audience_Rating]]</f>
        <v>-9</v>
      </c>
      <c r="X105" s="5">
        <f>FLOOR(Top_500_Movies_Ranked_by_Combined_Critics_and_Audience_Scores[[#This Row],[Year]],10)</f>
        <v>2010</v>
      </c>
    </row>
    <row r="106" spans="1:24" x14ac:dyDescent="0.2">
      <c r="A106" s="3">
        <v>105</v>
      </c>
      <c r="B106" t="s">
        <v>1120</v>
      </c>
      <c r="C106" s="5">
        <v>2003</v>
      </c>
      <c r="D106" t="s">
        <v>571</v>
      </c>
      <c r="E106" t="s">
        <v>153</v>
      </c>
      <c r="F106" t="s">
        <v>155</v>
      </c>
      <c r="G106" t="s">
        <v>1123</v>
      </c>
      <c r="H106" t="s">
        <v>1124</v>
      </c>
      <c r="I106" s="5">
        <v>85</v>
      </c>
      <c r="J106" s="4">
        <v>8.1</v>
      </c>
      <c r="K106" s="5">
        <v>81</v>
      </c>
      <c r="L106" s="5">
        <v>237542</v>
      </c>
      <c r="M106" s="5">
        <v>82</v>
      </c>
      <c r="N106" s="5">
        <v>82</v>
      </c>
      <c r="O106" s="5">
        <v>68</v>
      </c>
      <c r="P106" s="5">
        <v>90</v>
      </c>
      <c r="Q106" s="5">
        <v>203836</v>
      </c>
      <c r="R106" s="5">
        <v>88</v>
      </c>
      <c r="S106" s="5">
        <v>587951</v>
      </c>
      <c r="T106" s="5">
        <v>94</v>
      </c>
      <c r="U106" t="s">
        <v>1127</v>
      </c>
      <c r="V106" s="2">
        <v>86.17</v>
      </c>
      <c r="W106" s="5">
        <f>Top_500_Movies_Ranked_by_Combined_Critics_and_Audience_Scores[[#This Row],[Critic_Rating_RT]]-Top_500_Movies_Ranked_by_Combined_Critics_and_Audience_Scores[[#This Row],[Audience_Rating]]</f>
        <v>-8</v>
      </c>
      <c r="X106" s="5">
        <f>FLOOR(Top_500_Movies_Ranked_by_Combined_Critics_and_Audience_Scores[[#This Row],[Year]],10)</f>
        <v>2000</v>
      </c>
    </row>
    <row r="107" spans="1:24" x14ac:dyDescent="0.2">
      <c r="A107" s="3">
        <v>106</v>
      </c>
      <c r="B107" t="s">
        <v>1130</v>
      </c>
      <c r="C107" s="5">
        <v>1939</v>
      </c>
      <c r="D107" t="s">
        <v>1131</v>
      </c>
      <c r="E107" t="s">
        <v>950</v>
      </c>
      <c r="F107" t="s">
        <v>30</v>
      </c>
      <c r="G107" t="s">
        <v>1134</v>
      </c>
      <c r="H107" t="s">
        <v>216</v>
      </c>
      <c r="I107" s="5">
        <v>86</v>
      </c>
      <c r="J107" s="4">
        <v>8.1</v>
      </c>
      <c r="K107" s="5">
        <v>81</v>
      </c>
      <c r="L107" s="5">
        <v>447805</v>
      </c>
      <c r="M107" s="5">
        <v>92</v>
      </c>
      <c r="N107" s="5">
        <v>94</v>
      </c>
      <c r="O107" s="5">
        <v>104</v>
      </c>
      <c r="P107" s="5">
        <v>85</v>
      </c>
      <c r="Q107" s="5">
        <v>799483</v>
      </c>
      <c r="R107" s="5">
        <v>80</v>
      </c>
      <c r="S107" s="5">
        <v>644347</v>
      </c>
      <c r="T107" s="5">
        <v>85</v>
      </c>
      <c r="U107" t="s">
        <v>1137</v>
      </c>
      <c r="V107" s="2">
        <v>86.17</v>
      </c>
      <c r="W107" s="5">
        <f>Top_500_Movies_Ranked_by_Combined_Critics_and_Audience_Scores[[#This Row],[Critic_Rating_RT]]-Top_500_Movies_Ranked_by_Combined_Critics_and_Audience_Scores[[#This Row],[Audience_Rating]]</f>
        <v>9</v>
      </c>
      <c r="X107" s="5">
        <f>FLOOR(Top_500_Movies_Ranked_by_Combined_Critics_and_Audience_Scores[[#This Row],[Year]],10)</f>
        <v>1930</v>
      </c>
    </row>
    <row r="108" spans="1:24" x14ac:dyDescent="0.2">
      <c r="A108" s="3">
        <v>107</v>
      </c>
      <c r="B108" t="s">
        <v>1140</v>
      </c>
      <c r="C108" s="5">
        <v>1953</v>
      </c>
      <c r="D108" t="s">
        <v>1141</v>
      </c>
      <c r="E108" t="s">
        <v>1142</v>
      </c>
      <c r="F108" t="s">
        <v>321</v>
      </c>
      <c r="G108" t="s">
        <v>1145</v>
      </c>
      <c r="H108" t="s">
        <v>687</v>
      </c>
      <c r="I108" s="5">
        <v>85</v>
      </c>
      <c r="J108" s="4">
        <v>8.1</v>
      </c>
      <c r="K108" s="5">
        <v>81</v>
      </c>
      <c r="L108" s="5">
        <v>69739</v>
      </c>
      <c r="M108" s="5">
        <v>85</v>
      </c>
      <c r="N108" s="5">
        <v>89</v>
      </c>
      <c r="O108" s="5">
        <v>52</v>
      </c>
      <c r="P108" s="5">
        <v>91</v>
      </c>
      <c r="Q108" s="5">
        <v>22172</v>
      </c>
      <c r="R108" s="5">
        <v>86</v>
      </c>
      <c r="S108" s="5">
        <v>48927</v>
      </c>
      <c r="T108" s="5">
        <v>84</v>
      </c>
      <c r="U108" t="s">
        <v>1148</v>
      </c>
      <c r="V108" s="2">
        <v>86</v>
      </c>
      <c r="W108" s="5">
        <f>Top_500_Movies_Ranked_by_Combined_Critics_and_Audience_Scores[[#This Row],[Critic_Rating_RT]]-Top_500_Movies_Ranked_by_Combined_Critics_and_Audience_Scores[[#This Row],[Audience_Rating]]</f>
        <v>-2</v>
      </c>
      <c r="X108" s="5">
        <f>FLOOR(Top_500_Movies_Ranked_by_Combined_Critics_and_Audience_Scores[[#This Row],[Year]],10)</f>
        <v>1950</v>
      </c>
    </row>
    <row r="109" spans="1:24" x14ac:dyDescent="0.2">
      <c r="A109" s="3">
        <v>108</v>
      </c>
      <c r="B109" t="s">
        <v>1151</v>
      </c>
      <c r="C109" s="5">
        <v>1971</v>
      </c>
      <c r="D109" t="s">
        <v>211</v>
      </c>
      <c r="E109" t="s">
        <v>1152</v>
      </c>
      <c r="F109" t="s">
        <v>30</v>
      </c>
      <c r="G109" t="s">
        <v>1155</v>
      </c>
      <c r="H109" t="s">
        <v>53</v>
      </c>
      <c r="I109" s="5">
        <v>86</v>
      </c>
      <c r="J109" s="4">
        <v>8</v>
      </c>
      <c r="K109" s="5">
        <v>80</v>
      </c>
      <c r="L109" s="5">
        <v>54647</v>
      </c>
      <c r="M109" s="5">
        <v>93</v>
      </c>
      <c r="N109" s="5">
        <v>92</v>
      </c>
      <c r="O109" s="5">
        <v>69</v>
      </c>
      <c r="P109" s="5">
        <v>86</v>
      </c>
      <c r="Q109" s="5">
        <v>33440</v>
      </c>
      <c r="R109" s="5">
        <v>84</v>
      </c>
      <c r="S109" s="5">
        <v>71748</v>
      </c>
      <c r="T109" s="5">
        <v>81</v>
      </c>
      <c r="U109" t="s">
        <v>75</v>
      </c>
      <c r="V109" s="2">
        <v>86</v>
      </c>
      <c r="W109" s="5">
        <f>Top_500_Movies_Ranked_by_Combined_Critics_and_Audience_Scores[[#This Row],[Critic_Rating_RT]]-Top_500_Movies_Ranked_by_Combined_Critics_and_Audience_Scores[[#This Row],[Audience_Rating]]</f>
        <v>6</v>
      </c>
      <c r="X109" s="5">
        <f>FLOOR(Top_500_Movies_Ranked_by_Combined_Critics_and_Audience_Scores[[#This Row],[Year]],10)</f>
        <v>1970</v>
      </c>
    </row>
    <row r="110" spans="1:24" x14ac:dyDescent="0.2">
      <c r="A110" s="3">
        <v>109</v>
      </c>
      <c r="B110" t="s">
        <v>1160</v>
      </c>
      <c r="C110" s="5">
        <v>2016</v>
      </c>
      <c r="D110" t="s">
        <v>1161</v>
      </c>
      <c r="E110" t="s">
        <v>1162</v>
      </c>
      <c r="F110" t="s">
        <v>30</v>
      </c>
      <c r="G110" t="s">
        <v>4317</v>
      </c>
      <c r="H110" t="s">
        <v>4317</v>
      </c>
      <c r="I110" s="5">
        <v>87</v>
      </c>
      <c r="J110" s="4">
        <v>7.9</v>
      </c>
      <c r="K110" s="5">
        <v>79</v>
      </c>
      <c r="L110" s="5">
        <v>24118</v>
      </c>
      <c r="M110" s="5">
        <v>95</v>
      </c>
      <c r="N110" s="5">
        <v>91</v>
      </c>
      <c r="O110" s="5">
        <v>127</v>
      </c>
      <c r="P110" s="5">
        <v>81</v>
      </c>
      <c r="Q110" s="5">
        <v>28746</v>
      </c>
      <c r="R110" s="5">
        <v>84</v>
      </c>
      <c r="S110" s="5">
        <v>57440</v>
      </c>
      <c r="T110" s="5">
        <v>86</v>
      </c>
      <c r="U110" t="s">
        <v>75</v>
      </c>
      <c r="V110" s="2">
        <v>86</v>
      </c>
      <c r="W110" s="5">
        <f>Top_500_Movies_Ranked_by_Combined_Critics_and_Audience_Scores[[#This Row],[Critic_Rating_RT]]-Top_500_Movies_Ranked_by_Combined_Critics_and_Audience_Scores[[#This Row],[Audience_Rating]]</f>
        <v>10</v>
      </c>
      <c r="X110" s="5">
        <f>FLOOR(Top_500_Movies_Ranked_by_Combined_Critics_and_Audience_Scores[[#This Row],[Year]],10)</f>
        <v>2010</v>
      </c>
    </row>
    <row r="111" spans="1:24" x14ac:dyDescent="0.2">
      <c r="A111" s="3">
        <v>110</v>
      </c>
      <c r="B111" t="s">
        <v>1169</v>
      </c>
      <c r="C111" s="5">
        <v>2012</v>
      </c>
      <c r="D111" t="s">
        <v>1161</v>
      </c>
      <c r="E111" t="s">
        <v>1170</v>
      </c>
      <c r="F111" t="s">
        <v>1172</v>
      </c>
      <c r="G111" t="s">
        <v>1174</v>
      </c>
      <c r="H111" t="s">
        <v>1175</v>
      </c>
      <c r="I111" s="5">
        <v>86</v>
      </c>
      <c r="J111" s="4">
        <v>8.1999999999999993</v>
      </c>
      <c r="K111" s="5">
        <v>82</v>
      </c>
      <c r="L111" s="5">
        <v>42189</v>
      </c>
      <c r="M111" s="5">
        <v>92</v>
      </c>
      <c r="N111" s="5">
        <v>89</v>
      </c>
      <c r="O111" s="5">
        <v>112</v>
      </c>
      <c r="P111" s="5">
        <v>83</v>
      </c>
      <c r="Q111" s="5">
        <v>35639</v>
      </c>
      <c r="R111" s="5">
        <v>88</v>
      </c>
      <c r="S111" s="5">
        <v>76803</v>
      </c>
      <c r="T111" s="5">
        <v>82</v>
      </c>
      <c r="U111" t="s">
        <v>75</v>
      </c>
      <c r="V111" s="2">
        <v>86</v>
      </c>
      <c r="W111" s="5">
        <f>Top_500_Movies_Ranked_by_Combined_Critics_and_Audience_Scores[[#This Row],[Critic_Rating_RT]]-Top_500_Movies_Ranked_by_Combined_Critics_and_Audience_Scores[[#This Row],[Audience_Rating]]</f>
        <v>6</v>
      </c>
      <c r="X111" s="5">
        <f>FLOOR(Top_500_Movies_Ranked_by_Combined_Critics_and_Audience_Scores[[#This Row],[Year]],10)</f>
        <v>2010</v>
      </c>
    </row>
    <row r="112" spans="1:24" x14ac:dyDescent="0.2">
      <c r="A112" s="3">
        <v>111</v>
      </c>
      <c r="B112" t="s">
        <v>1179</v>
      </c>
      <c r="C112" s="5">
        <v>1920</v>
      </c>
      <c r="D112" t="s">
        <v>1180</v>
      </c>
      <c r="E112" t="s">
        <v>1181</v>
      </c>
      <c r="F112" t="s">
        <v>374</v>
      </c>
      <c r="G112" t="s">
        <v>4317</v>
      </c>
      <c r="H112" t="s">
        <v>227</v>
      </c>
      <c r="I112" s="5">
        <v>85</v>
      </c>
      <c r="J112" s="4">
        <v>8</v>
      </c>
      <c r="K112" s="5">
        <v>80</v>
      </c>
      <c r="L112" s="5">
        <v>73119</v>
      </c>
      <c r="N112" s="5">
        <v>93</v>
      </c>
      <c r="O112" s="5">
        <v>75</v>
      </c>
      <c r="P112" s="5">
        <v>86</v>
      </c>
      <c r="Q112" s="5">
        <v>77818</v>
      </c>
      <c r="R112" s="5">
        <v>82</v>
      </c>
      <c r="S112" s="5">
        <v>177616</v>
      </c>
      <c r="T112" s="5">
        <v>89</v>
      </c>
      <c r="U112" t="s">
        <v>1186</v>
      </c>
      <c r="V112" s="2">
        <v>86</v>
      </c>
      <c r="W112" s="5">
        <f>Top_500_Movies_Ranked_by_Combined_Critics_and_Audience_Scores[[#This Row],[Critic_Rating_RT]]-Top_500_Movies_Ranked_by_Combined_Critics_and_Audience_Scores[[#This Row],[Audience_Rating]]</f>
        <v>7</v>
      </c>
      <c r="X112" s="5">
        <f>FLOOR(Top_500_Movies_Ranked_by_Combined_Critics_and_Audience_Scores[[#This Row],[Year]],10)</f>
        <v>1920</v>
      </c>
    </row>
    <row r="113" spans="1:24" x14ac:dyDescent="0.2">
      <c r="A113" s="3">
        <v>112</v>
      </c>
      <c r="B113" t="s">
        <v>1189</v>
      </c>
      <c r="C113" s="5">
        <v>1992</v>
      </c>
      <c r="D113" t="s">
        <v>278</v>
      </c>
      <c r="E113" t="s">
        <v>114</v>
      </c>
      <c r="F113" t="s">
        <v>30</v>
      </c>
      <c r="G113" t="s">
        <v>1192</v>
      </c>
      <c r="H113" t="s">
        <v>118</v>
      </c>
      <c r="I113" s="5">
        <v>86</v>
      </c>
      <c r="J113" s="4">
        <v>8.3000000000000007</v>
      </c>
      <c r="K113" s="5">
        <v>83</v>
      </c>
      <c r="L113" s="5">
        <v>1126378</v>
      </c>
      <c r="M113" s="5">
        <v>81</v>
      </c>
      <c r="N113" s="5">
        <v>87</v>
      </c>
      <c r="O113" s="5">
        <v>63</v>
      </c>
      <c r="P113" s="5">
        <v>90</v>
      </c>
      <c r="Q113" s="5">
        <v>693273</v>
      </c>
      <c r="R113" s="5">
        <v>84</v>
      </c>
      <c r="S113" s="5">
        <v>1184639</v>
      </c>
      <c r="T113" s="5">
        <v>91</v>
      </c>
      <c r="U113" t="s">
        <v>916</v>
      </c>
      <c r="V113" s="2">
        <v>86</v>
      </c>
      <c r="W113" s="5">
        <f>Top_500_Movies_Ranked_by_Combined_Critics_and_Audience_Scores[[#This Row],[Critic_Rating_RT]]-Top_500_Movies_Ranked_by_Combined_Critics_and_Audience_Scores[[#This Row],[Audience_Rating]]</f>
        <v>-3</v>
      </c>
      <c r="X113" s="5">
        <f>FLOOR(Top_500_Movies_Ranked_by_Combined_Critics_and_Audience_Scores[[#This Row],[Year]],10)</f>
        <v>1990</v>
      </c>
    </row>
    <row r="114" spans="1:24" x14ac:dyDescent="0.2">
      <c r="A114" s="3">
        <v>113</v>
      </c>
      <c r="B114" t="s">
        <v>1197</v>
      </c>
      <c r="C114" s="5">
        <v>2000</v>
      </c>
      <c r="D114" t="s">
        <v>1198</v>
      </c>
      <c r="E114" t="s">
        <v>1199</v>
      </c>
      <c r="F114" t="s">
        <v>30</v>
      </c>
      <c r="G114" t="s">
        <v>1202</v>
      </c>
      <c r="H114" t="s">
        <v>1203</v>
      </c>
      <c r="I114" s="5">
        <v>85</v>
      </c>
      <c r="J114" s="4">
        <v>8.4</v>
      </c>
      <c r="K114" s="5">
        <v>84</v>
      </c>
      <c r="L114" s="5">
        <v>1371012</v>
      </c>
      <c r="M114" s="5">
        <v>83</v>
      </c>
      <c r="N114" s="5">
        <v>83</v>
      </c>
      <c r="O114" s="5">
        <v>121</v>
      </c>
      <c r="P114" s="5">
        <v>91</v>
      </c>
      <c r="Q114" s="5">
        <v>689974</v>
      </c>
      <c r="R114" s="5">
        <v>84</v>
      </c>
      <c r="S114" s="5">
        <v>1305228</v>
      </c>
      <c r="T114" s="5">
        <v>91</v>
      </c>
      <c r="U114" t="s">
        <v>1206</v>
      </c>
      <c r="V114" s="2">
        <v>86</v>
      </c>
      <c r="W114" s="5">
        <f>Top_500_Movies_Ranked_by_Combined_Critics_and_Audience_Scores[[#This Row],[Critic_Rating_RT]]-Top_500_Movies_Ranked_by_Combined_Critics_and_Audience_Scores[[#This Row],[Audience_Rating]]</f>
        <v>-8</v>
      </c>
      <c r="X114" s="5">
        <f>FLOOR(Top_500_Movies_Ranked_by_Combined_Critics_and_Audience_Scores[[#This Row],[Year]],10)</f>
        <v>2000</v>
      </c>
    </row>
    <row r="115" spans="1:24" x14ac:dyDescent="0.2">
      <c r="A115" s="3">
        <v>114</v>
      </c>
      <c r="B115" t="s">
        <v>1209</v>
      </c>
      <c r="C115" s="5">
        <v>1978</v>
      </c>
      <c r="D115" t="s">
        <v>267</v>
      </c>
      <c r="E115" t="s">
        <v>1210</v>
      </c>
      <c r="F115" t="s">
        <v>30</v>
      </c>
      <c r="G115" t="s">
        <v>1213</v>
      </c>
      <c r="H115" t="s">
        <v>85</v>
      </c>
      <c r="I115" s="5">
        <v>85</v>
      </c>
      <c r="J115" s="4">
        <v>8.1</v>
      </c>
      <c r="K115" s="5">
        <v>81</v>
      </c>
      <c r="L115" s="5">
        <v>373634</v>
      </c>
      <c r="M115" s="5">
        <v>90</v>
      </c>
      <c r="N115" s="5">
        <v>87</v>
      </c>
      <c r="O115" s="5">
        <v>79</v>
      </c>
      <c r="P115" s="5">
        <v>89</v>
      </c>
      <c r="Q115" s="5">
        <v>142669</v>
      </c>
      <c r="R115" s="5">
        <v>84</v>
      </c>
      <c r="S115" s="5">
        <v>220254</v>
      </c>
      <c r="T115" s="5">
        <v>85</v>
      </c>
      <c r="U115" t="s">
        <v>617</v>
      </c>
      <c r="V115" s="2">
        <v>86</v>
      </c>
      <c r="W115" s="5">
        <f>Top_500_Movies_Ranked_by_Combined_Critics_and_Audience_Scores[[#This Row],[Critic_Rating_RT]]-Top_500_Movies_Ranked_by_Combined_Critics_and_Audience_Scores[[#This Row],[Audience_Rating]]</f>
        <v>-2</v>
      </c>
      <c r="X115" s="5">
        <f>FLOOR(Top_500_Movies_Ranked_by_Combined_Critics_and_Audience_Scores[[#This Row],[Year]],10)</f>
        <v>1970</v>
      </c>
    </row>
    <row r="116" spans="1:24" x14ac:dyDescent="0.2">
      <c r="A116" s="3">
        <v>115</v>
      </c>
      <c r="B116" t="s">
        <v>1218</v>
      </c>
      <c r="C116" s="5">
        <v>2000</v>
      </c>
      <c r="D116" t="s">
        <v>65</v>
      </c>
      <c r="E116" t="s">
        <v>1219</v>
      </c>
      <c r="F116" t="s">
        <v>1221</v>
      </c>
      <c r="G116" t="s">
        <v>4317</v>
      </c>
      <c r="H116" t="s">
        <v>4317</v>
      </c>
      <c r="I116" s="5">
        <v>85</v>
      </c>
      <c r="J116" s="4">
        <v>8.1</v>
      </c>
      <c r="K116" s="5">
        <v>81</v>
      </c>
      <c r="L116" s="5">
        <v>30233</v>
      </c>
      <c r="M116" s="5">
        <v>94</v>
      </c>
      <c r="N116" s="5">
        <v>86</v>
      </c>
      <c r="O116" s="5">
        <v>51</v>
      </c>
      <c r="P116" s="5">
        <v>88</v>
      </c>
      <c r="Q116" s="5">
        <v>40627</v>
      </c>
      <c r="R116" s="5">
        <v>90</v>
      </c>
      <c r="S116" s="5">
        <v>106448</v>
      </c>
      <c r="T116" s="5">
        <v>77</v>
      </c>
      <c r="U116" t="s">
        <v>4317</v>
      </c>
      <c r="V116" s="2">
        <v>86</v>
      </c>
      <c r="W116" s="5">
        <f>Top_500_Movies_Ranked_by_Combined_Critics_and_Audience_Scores[[#This Row],[Critic_Rating_RT]]-Top_500_Movies_Ranked_by_Combined_Critics_and_Audience_Scores[[#This Row],[Audience_Rating]]</f>
        <v>-2</v>
      </c>
      <c r="X116" s="5">
        <f>FLOOR(Top_500_Movies_Ranked_by_Combined_Critics_and_Audience_Scores[[#This Row],[Year]],10)</f>
        <v>2000</v>
      </c>
    </row>
    <row r="117" spans="1:24" x14ac:dyDescent="0.2">
      <c r="A117" s="3">
        <v>116</v>
      </c>
      <c r="B117" t="s">
        <v>1228</v>
      </c>
      <c r="C117" s="5">
        <v>2016</v>
      </c>
      <c r="D117" t="s">
        <v>1229</v>
      </c>
      <c r="E117" t="s">
        <v>1230</v>
      </c>
      <c r="F117" t="s">
        <v>155</v>
      </c>
      <c r="G117" t="s">
        <v>4317</v>
      </c>
      <c r="H117" t="s">
        <v>4317</v>
      </c>
      <c r="I117" s="5">
        <v>85</v>
      </c>
      <c r="J117" s="4">
        <v>8.1</v>
      </c>
      <c r="K117" s="5">
        <v>81</v>
      </c>
      <c r="L117" s="5">
        <v>186305</v>
      </c>
      <c r="M117" s="5">
        <v>85</v>
      </c>
      <c r="N117" s="5">
        <v>84</v>
      </c>
      <c r="O117" s="5">
        <v>162</v>
      </c>
      <c r="P117" s="5">
        <v>88</v>
      </c>
      <c r="Q117" s="5">
        <v>198447</v>
      </c>
      <c r="R117" s="5">
        <v>88</v>
      </c>
      <c r="S117" s="5">
        <v>572569</v>
      </c>
      <c r="T117" s="5">
        <v>90</v>
      </c>
      <c r="U117" t="s">
        <v>4317</v>
      </c>
      <c r="V117" s="2">
        <v>86</v>
      </c>
      <c r="W117" s="5">
        <f>Top_500_Movies_Ranked_by_Combined_Critics_and_Audience_Scores[[#This Row],[Critic_Rating_RT]]-Top_500_Movies_Ranked_by_Combined_Critics_and_Audience_Scores[[#This Row],[Audience_Rating]]</f>
        <v>-4</v>
      </c>
      <c r="X117" s="5">
        <f>FLOOR(Top_500_Movies_Ranked_by_Combined_Critics_and_Audience_Scores[[#This Row],[Year]],10)</f>
        <v>2010</v>
      </c>
    </row>
    <row r="118" spans="1:24" x14ac:dyDescent="0.2">
      <c r="A118" s="3">
        <v>117</v>
      </c>
      <c r="B118" t="s">
        <v>1237</v>
      </c>
      <c r="C118" s="5">
        <v>2022</v>
      </c>
      <c r="D118" t="s">
        <v>65</v>
      </c>
      <c r="E118" t="s">
        <v>1238</v>
      </c>
      <c r="F118" t="s">
        <v>30</v>
      </c>
      <c r="G118" t="s">
        <v>4317</v>
      </c>
      <c r="H118" t="s">
        <v>4317</v>
      </c>
      <c r="I118" s="5">
        <v>86</v>
      </c>
      <c r="J118" s="4">
        <v>7.6</v>
      </c>
      <c r="K118" s="5">
        <v>76</v>
      </c>
      <c r="L118" s="5">
        <v>113280</v>
      </c>
      <c r="M118" s="5">
        <v>95</v>
      </c>
      <c r="N118" s="5">
        <v>90</v>
      </c>
      <c r="O118" s="5">
        <v>145</v>
      </c>
      <c r="Q118" s="5">
        <v>384741</v>
      </c>
      <c r="R118" s="5">
        <v>84</v>
      </c>
      <c r="S118" s="5">
        <v>1151527</v>
      </c>
      <c r="T118" s="5">
        <v>85</v>
      </c>
      <c r="U118" t="s">
        <v>4317</v>
      </c>
      <c r="V118" s="2">
        <v>86</v>
      </c>
      <c r="W118" s="5">
        <f>Top_500_Movies_Ranked_by_Combined_Critics_and_Audience_Scores[[#This Row],[Critic_Rating_RT]]-Top_500_Movies_Ranked_by_Combined_Critics_and_Audience_Scores[[#This Row],[Audience_Rating]]</f>
        <v>90</v>
      </c>
      <c r="X118" s="5">
        <f>FLOOR(Top_500_Movies_Ranked_by_Combined_Critics_and_Audience_Scores[[#This Row],[Year]],10)</f>
        <v>2020</v>
      </c>
    </row>
    <row r="119" spans="1:24" x14ac:dyDescent="0.2">
      <c r="A119" s="3">
        <v>118</v>
      </c>
      <c r="B119" t="s">
        <v>1246</v>
      </c>
      <c r="C119" s="5">
        <v>1980</v>
      </c>
      <c r="D119" t="s">
        <v>65</v>
      </c>
      <c r="E119" t="s">
        <v>174</v>
      </c>
      <c r="F119" t="s">
        <v>30</v>
      </c>
      <c r="G119" t="s">
        <v>1249</v>
      </c>
      <c r="H119" t="s">
        <v>167</v>
      </c>
      <c r="I119" s="5">
        <v>85</v>
      </c>
      <c r="J119" s="4">
        <v>8.1</v>
      </c>
      <c r="K119" s="5">
        <v>81</v>
      </c>
      <c r="L119" s="5">
        <v>393517</v>
      </c>
      <c r="M119" s="5">
        <v>90</v>
      </c>
      <c r="N119" s="5">
        <v>90</v>
      </c>
      <c r="O119" s="5">
        <v>91</v>
      </c>
      <c r="P119" s="5">
        <v>89</v>
      </c>
      <c r="Q119" s="5">
        <v>228557</v>
      </c>
      <c r="R119" s="5">
        <v>84</v>
      </c>
      <c r="S119" s="5">
        <v>421824</v>
      </c>
      <c r="T119" s="5">
        <v>81</v>
      </c>
      <c r="U119" t="s">
        <v>1252</v>
      </c>
      <c r="V119" s="2">
        <v>85.83</v>
      </c>
      <c r="W119" s="5">
        <f>Top_500_Movies_Ranked_by_Combined_Critics_and_Audience_Scores[[#This Row],[Critic_Rating_RT]]-Top_500_Movies_Ranked_by_Combined_Critics_and_Audience_Scores[[#This Row],[Audience_Rating]]</f>
        <v>1</v>
      </c>
      <c r="X119" s="5">
        <f>FLOOR(Top_500_Movies_Ranked_by_Combined_Critics_and_Audience_Scores[[#This Row],[Year]],10)</f>
        <v>1980</v>
      </c>
    </row>
    <row r="120" spans="1:24" x14ac:dyDescent="0.2">
      <c r="A120" s="3">
        <v>119</v>
      </c>
      <c r="B120" t="s">
        <v>1256</v>
      </c>
      <c r="C120" s="5">
        <v>2004</v>
      </c>
      <c r="D120" t="s">
        <v>65</v>
      </c>
      <c r="E120" t="s">
        <v>1012</v>
      </c>
      <c r="F120" t="s">
        <v>50</v>
      </c>
      <c r="G120" t="s">
        <v>1259</v>
      </c>
      <c r="H120" t="s">
        <v>1260</v>
      </c>
      <c r="I120" s="5">
        <v>85</v>
      </c>
      <c r="J120" s="4">
        <v>8</v>
      </c>
      <c r="K120" s="5">
        <v>80</v>
      </c>
      <c r="L120" s="5">
        <v>33279</v>
      </c>
      <c r="M120" s="5">
        <v>88</v>
      </c>
      <c r="N120" s="5">
        <v>82</v>
      </c>
      <c r="O120" s="5">
        <v>51</v>
      </c>
      <c r="P120" s="5">
        <v>89</v>
      </c>
      <c r="Q120" s="5">
        <v>30957</v>
      </c>
      <c r="R120" s="5">
        <v>88</v>
      </c>
      <c r="S120" s="5">
        <v>72551</v>
      </c>
      <c r="T120" s="5">
        <v>88</v>
      </c>
      <c r="U120" t="s">
        <v>325</v>
      </c>
      <c r="V120" s="2">
        <v>85.83</v>
      </c>
      <c r="W120" s="5">
        <f>Top_500_Movies_Ranked_by_Combined_Critics_and_Audience_Scores[[#This Row],[Critic_Rating_RT]]-Top_500_Movies_Ranked_by_Combined_Critics_and_Audience_Scores[[#This Row],[Audience_Rating]]</f>
        <v>-7</v>
      </c>
      <c r="X120" s="5">
        <f>FLOOR(Top_500_Movies_Ranked_by_Combined_Critics_and_Audience_Scores[[#This Row],[Year]],10)</f>
        <v>2000</v>
      </c>
    </row>
    <row r="121" spans="1:24" x14ac:dyDescent="0.2">
      <c r="A121" s="3">
        <v>120</v>
      </c>
      <c r="B121" t="s">
        <v>1265</v>
      </c>
      <c r="C121" s="5">
        <v>1991</v>
      </c>
      <c r="D121" t="s">
        <v>1031</v>
      </c>
      <c r="E121" t="s">
        <v>1032</v>
      </c>
      <c r="F121" t="s">
        <v>30</v>
      </c>
      <c r="G121" t="s">
        <v>1268</v>
      </c>
      <c r="H121" t="s">
        <v>1269</v>
      </c>
      <c r="I121" s="5">
        <v>85</v>
      </c>
      <c r="J121" s="4">
        <v>8.6</v>
      </c>
      <c r="K121" s="5">
        <v>86</v>
      </c>
      <c r="L121" s="5">
        <v>1224062</v>
      </c>
      <c r="M121" s="5">
        <v>75</v>
      </c>
      <c r="N121" s="5">
        <v>83</v>
      </c>
      <c r="O121" s="5">
        <v>80</v>
      </c>
      <c r="P121" s="5">
        <v>90</v>
      </c>
      <c r="Q121" s="5">
        <v>732641</v>
      </c>
      <c r="R121" s="5">
        <v>86</v>
      </c>
      <c r="S121" s="5">
        <v>696537</v>
      </c>
      <c r="T121" s="5">
        <v>95</v>
      </c>
      <c r="U121" t="s">
        <v>780</v>
      </c>
      <c r="V121" s="2">
        <v>85.83</v>
      </c>
      <c r="W121" s="5">
        <f>Top_500_Movies_Ranked_by_Combined_Critics_and_Audience_Scores[[#This Row],[Critic_Rating_RT]]-Top_500_Movies_Ranked_by_Combined_Critics_and_Audience_Scores[[#This Row],[Audience_Rating]]</f>
        <v>-7</v>
      </c>
      <c r="X121" s="5">
        <f>FLOOR(Top_500_Movies_Ranked_by_Combined_Critics_and_Audience_Scores[[#This Row],[Year]],10)</f>
        <v>1990</v>
      </c>
    </row>
    <row r="122" spans="1:24" x14ac:dyDescent="0.2">
      <c r="A122" s="3">
        <v>121</v>
      </c>
      <c r="B122" t="s">
        <v>1275</v>
      </c>
      <c r="C122" s="5">
        <v>1968</v>
      </c>
      <c r="D122" t="s">
        <v>1276</v>
      </c>
      <c r="E122" t="s">
        <v>610</v>
      </c>
      <c r="F122" t="s">
        <v>30</v>
      </c>
      <c r="G122" t="s">
        <v>4317</v>
      </c>
      <c r="H122" t="s">
        <v>4317</v>
      </c>
      <c r="I122" s="5">
        <v>86</v>
      </c>
      <c r="J122" s="4">
        <v>8</v>
      </c>
      <c r="K122" s="5">
        <v>80</v>
      </c>
      <c r="L122" s="5">
        <v>247212</v>
      </c>
      <c r="M122" s="5">
        <v>96</v>
      </c>
      <c r="N122" s="5">
        <v>90</v>
      </c>
      <c r="O122" s="5">
        <v>94</v>
      </c>
      <c r="P122" s="5">
        <v>84</v>
      </c>
      <c r="Q122" s="5">
        <v>198214</v>
      </c>
      <c r="R122" s="5">
        <v>84</v>
      </c>
      <c r="S122" s="5">
        <v>446121</v>
      </c>
      <c r="T122" s="5">
        <v>81</v>
      </c>
      <c r="U122" t="s">
        <v>1281</v>
      </c>
      <c r="V122" s="2">
        <v>85.83</v>
      </c>
      <c r="W122" s="5">
        <f>Top_500_Movies_Ranked_by_Combined_Critics_and_Audience_Scores[[#This Row],[Critic_Rating_RT]]-Top_500_Movies_Ranked_by_Combined_Critics_and_Audience_Scores[[#This Row],[Audience_Rating]]</f>
        <v>6</v>
      </c>
      <c r="X122" s="5">
        <f>FLOOR(Top_500_Movies_Ranked_by_Combined_Critics_and_Audience_Scores[[#This Row],[Year]],10)</f>
        <v>1960</v>
      </c>
    </row>
    <row r="123" spans="1:24" x14ac:dyDescent="0.2">
      <c r="A123" s="3">
        <v>122</v>
      </c>
      <c r="B123" t="s">
        <v>1284</v>
      </c>
      <c r="C123" s="5">
        <v>1940</v>
      </c>
      <c r="D123" t="s">
        <v>234</v>
      </c>
      <c r="E123" t="s">
        <v>1285</v>
      </c>
      <c r="F123" t="s">
        <v>30</v>
      </c>
      <c r="G123" t="s">
        <v>1288</v>
      </c>
      <c r="H123" t="s">
        <v>239</v>
      </c>
      <c r="I123" s="5">
        <v>85</v>
      </c>
      <c r="J123" s="4">
        <v>7.8</v>
      </c>
      <c r="K123" s="5">
        <v>78</v>
      </c>
      <c r="L123" s="5">
        <v>75972</v>
      </c>
      <c r="M123" s="5">
        <v>96</v>
      </c>
      <c r="N123" s="5">
        <v>91</v>
      </c>
      <c r="O123" s="5">
        <v>58</v>
      </c>
      <c r="P123" s="5">
        <v>88</v>
      </c>
      <c r="Q123" s="5">
        <v>57062</v>
      </c>
      <c r="R123" s="5">
        <v>80</v>
      </c>
      <c r="S123" s="5">
        <v>76512</v>
      </c>
      <c r="T123" s="5">
        <v>82</v>
      </c>
      <c r="U123" t="s">
        <v>1148</v>
      </c>
      <c r="V123" s="2">
        <v>85.83</v>
      </c>
      <c r="W123" s="5">
        <f>Top_500_Movies_Ranked_by_Combined_Critics_and_Audience_Scores[[#This Row],[Critic_Rating_RT]]-Top_500_Movies_Ranked_by_Combined_Critics_and_Audience_Scores[[#This Row],[Audience_Rating]]</f>
        <v>3</v>
      </c>
      <c r="X123" s="5">
        <f>FLOOR(Top_500_Movies_Ranked_by_Combined_Critics_and_Audience_Scores[[#This Row],[Year]],10)</f>
        <v>1940</v>
      </c>
    </row>
    <row r="124" spans="1:24" x14ac:dyDescent="0.2">
      <c r="A124" s="3">
        <v>123</v>
      </c>
      <c r="B124" t="s">
        <v>1293</v>
      </c>
      <c r="C124" s="5">
        <v>1955</v>
      </c>
      <c r="D124" t="s">
        <v>258</v>
      </c>
      <c r="E124" t="s">
        <v>1142</v>
      </c>
      <c r="F124" t="s">
        <v>321</v>
      </c>
      <c r="G124" t="s">
        <v>1296</v>
      </c>
      <c r="H124" t="s">
        <v>1297</v>
      </c>
      <c r="I124" s="5">
        <v>84</v>
      </c>
      <c r="J124" s="4">
        <v>8.1</v>
      </c>
      <c r="K124" s="5">
        <v>81</v>
      </c>
      <c r="L124" s="5">
        <v>71254</v>
      </c>
      <c r="N124" s="5">
        <v>87</v>
      </c>
      <c r="O124" s="5">
        <v>57</v>
      </c>
      <c r="P124" s="5">
        <v>89</v>
      </c>
      <c r="Q124" s="5">
        <v>30133</v>
      </c>
      <c r="R124" s="5">
        <v>84</v>
      </c>
      <c r="S124" s="5">
        <v>69607</v>
      </c>
      <c r="T124" s="5">
        <v>88</v>
      </c>
      <c r="U124" t="s">
        <v>1148</v>
      </c>
      <c r="V124" s="2">
        <v>85.8</v>
      </c>
      <c r="W124" s="5">
        <f>Top_500_Movies_Ranked_by_Combined_Critics_and_Audience_Scores[[#This Row],[Critic_Rating_RT]]-Top_500_Movies_Ranked_by_Combined_Critics_and_Audience_Scores[[#This Row],[Audience_Rating]]</f>
        <v>-2</v>
      </c>
      <c r="X124" s="5">
        <f>FLOOR(Top_500_Movies_Ranked_by_Combined_Critics_and_Audience_Scores[[#This Row],[Year]],10)</f>
        <v>1950</v>
      </c>
    </row>
    <row r="125" spans="1:24" x14ac:dyDescent="0.2">
      <c r="A125" s="3">
        <v>124</v>
      </c>
      <c r="B125" t="s">
        <v>1303</v>
      </c>
      <c r="C125" s="5">
        <v>2015</v>
      </c>
      <c r="D125" t="s">
        <v>1304</v>
      </c>
      <c r="E125" t="s">
        <v>1305</v>
      </c>
      <c r="F125" t="s">
        <v>30</v>
      </c>
      <c r="G125" t="s">
        <v>1308</v>
      </c>
      <c r="H125" t="s">
        <v>178</v>
      </c>
      <c r="I125" s="5">
        <v>86</v>
      </c>
      <c r="J125" s="4">
        <v>8.1</v>
      </c>
      <c r="K125" s="5">
        <v>81</v>
      </c>
      <c r="L125" s="5">
        <v>1159013</v>
      </c>
      <c r="M125" s="5">
        <v>90</v>
      </c>
      <c r="N125" s="5">
        <v>87</v>
      </c>
      <c r="O125" s="5">
        <v>342</v>
      </c>
      <c r="P125" s="5">
        <v>83</v>
      </c>
      <c r="Q125" s="5">
        <v>643941</v>
      </c>
      <c r="R125" s="5">
        <v>84</v>
      </c>
      <c r="S125" s="5">
        <v>1670956</v>
      </c>
      <c r="T125" s="5">
        <v>89</v>
      </c>
      <c r="U125" t="s">
        <v>135</v>
      </c>
      <c r="V125" s="2">
        <v>85.67</v>
      </c>
      <c r="W125" s="5">
        <f>Top_500_Movies_Ranked_by_Combined_Critics_and_Audience_Scores[[#This Row],[Critic_Rating_RT]]-Top_500_Movies_Ranked_by_Combined_Critics_and_Audience_Scores[[#This Row],[Audience_Rating]]</f>
        <v>4</v>
      </c>
      <c r="X125" s="5">
        <f>FLOOR(Top_500_Movies_Ranked_by_Combined_Critics_and_Audience_Scores[[#This Row],[Year]],10)</f>
        <v>2010</v>
      </c>
    </row>
    <row r="126" spans="1:24" x14ac:dyDescent="0.2">
      <c r="A126" s="3">
        <v>125</v>
      </c>
      <c r="B126" t="s">
        <v>1314</v>
      </c>
      <c r="C126" s="5">
        <v>1962</v>
      </c>
      <c r="D126" t="s">
        <v>65</v>
      </c>
      <c r="E126" t="s">
        <v>1315</v>
      </c>
      <c r="F126" t="s">
        <v>30</v>
      </c>
      <c r="G126" t="s">
        <v>1318</v>
      </c>
      <c r="H126" t="s">
        <v>1319</v>
      </c>
      <c r="I126" s="5">
        <v>85</v>
      </c>
      <c r="J126" s="4">
        <v>8.3000000000000007</v>
      </c>
      <c r="K126" s="5">
        <v>83</v>
      </c>
      <c r="L126" s="5">
        <v>341855</v>
      </c>
      <c r="M126" s="5">
        <v>88</v>
      </c>
      <c r="N126" s="5">
        <v>89</v>
      </c>
      <c r="O126" s="5">
        <v>57</v>
      </c>
      <c r="P126" s="5">
        <v>89</v>
      </c>
      <c r="Q126" s="5">
        <v>188021</v>
      </c>
      <c r="R126" s="5">
        <v>82</v>
      </c>
      <c r="S126" s="5">
        <v>205312</v>
      </c>
      <c r="T126" s="5">
        <v>83</v>
      </c>
      <c r="U126" t="s">
        <v>617</v>
      </c>
      <c r="V126" s="2">
        <v>85.67</v>
      </c>
      <c r="W126" s="5">
        <f>Top_500_Movies_Ranked_by_Combined_Critics_and_Audience_Scores[[#This Row],[Critic_Rating_RT]]-Top_500_Movies_Ranked_by_Combined_Critics_and_Audience_Scores[[#This Row],[Audience_Rating]]</f>
        <v>0</v>
      </c>
      <c r="X126" s="5">
        <f>FLOOR(Top_500_Movies_Ranked_by_Combined_Critics_and_Audience_Scores[[#This Row],[Year]],10)</f>
        <v>1960</v>
      </c>
    </row>
    <row r="127" spans="1:24" x14ac:dyDescent="0.2">
      <c r="A127" s="3">
        <v>126</v>
      </c>
      <c r="B127" t="s">
        <v>1324</v>
      </c>
      <c r="C127" s="5">
        <v>2000</v>
      </c>
      <c r="D127" t="s">
        <v>1325</v>
      </c>
      <c r="E127" t="s">
        <v>1326</v>
      </c>
      <c r="F127" t="s">
        <v>1221</v>
      </c>
      <c r="G127" t="s">
        <v>1329</v>
      </c>
      <c r="H127" t="s">
        <v>335</v>
      </c>
      <c r="I127" s="5">
        <v>86</v>
      </c>
      <c r="J127" s="4">
        <v>7.9</v>
      </c>
      <c r="K127" s="5">
        <v>79</v>
      </c>
      <c r="L127" s="5">
        <v>287305</v>
      </c>
      <c r="M127" s="5">
        <v>94</v>
      </c>
      <c r="N127" s="5">
        <v>89</v>
      </c>
      <c r="O127" s="5">
        <v>129</v>
      </c>
      <c r="P127" s="5">
        <v>83</v>
      </c>
      <c r="Q127" s="5">
        <v>355015</v>
      </c>
      <c r="R127" s="5">
        <v>82</v>
      </c>
      <c r="S127" s="5">
        <v>209205</v>
      </c>
      <c r="T127" s="5">
        <v>87</v>
      </c>
      <c r="U127" t="s">
        <v>75</v>
      </c>
      <c r="V127" s="2">
        <v>85.67</v>
      </c>
      <c r="W127" s="5">
        <f>Top_500_Movies_Ranked_by_Combined_Critics_and_Audience_Scores[[#This Row],[Critic_Rating_RT]]-Top_500_Movies_Ranked_by_Combined_Critics_and_Audience_Scores[[#This Row],[Audience_Rating]]</f>
        <v>6</v>
      </c>
      <c r="X127" s="5">
        <f>FLOOR(Top_500_Movies_Ranked_by_Combined_Critics_and_Audience_Scores[[#This Row],[Year]],10)</f>
        <v>2000</v>
      </c>
    </row>
    <row r="128" spans="1:24" x14ac:dyDescent="0.2">
      <c r="A128" s="3">
        <v>127</v>
      </c>
      <c r="B128" t="s">
        <v>1334</v>
      </c>
      <c r="C128" s="5">
        <v>1968</v>
      </c>
      <c r="D128" t="s">
        <v>1335</v>
      </c>
      <c r="E128" t="s">
        <v>199</v>
      </c>
      <c r="F128" t="s">
        <v>30</v>
      </c>
      <c r="G128" t="s">
        <v>1338</v>
      </c>
      <c r="H128" t="s">
        <v>216</v>
      </c>
      <c r="I128" s="5">
        <v>86</v>
      </c>
      <c r="J128" s="4">
        <v>8.3000000000000007</v>
      </c>
      <c r="K128" s="5">
        <v>83</v>
      </c>
      <c r="L128" s="5">
        <v>748841</v>
      </c>
      <c r="M128" s="5">
        <v>84</v>
      </c>
      <c r="N128" s="5">
        <v>90</v>
      </c>
      <c r="O128" s="5">
        <v>98</v>
      </c>
      <c r="P128" s="5">
        <v>87</v>
      </c>
      <c r="Q128" s="5">
        <v>555464</v>
      </c>
      <c r="R128" s="5">
        <v>86</v>
      </c>
      <c r="S128" s="5">
        <v>1065318</v>
      </c>
      <c r="T128" s="5">
        <v>84</v>
      </c>
      <c r="U128" t="s">
        <v>60</v>
      </c>
      <c r="V128" s="2">
        <v>85.67</v>
      </c>
      <c r="W128" s="5">
        <f>Top_500_Movies_Ranked_by_Combined_Critics_and_Audience_Scores[[#This Row],[Critic_Rating_RT]]-Top_500_Movies_Ranked_by_Combined_Critics_and_Audience_Scores[[#This Row],[Audience_Rating]]</f>
        <v>3</v>
      </c>
      <c r="X128" s="5">
        <f>FLOOR(Top_500_Movies_Ranked_by_Combined_Critics_and_Audience_Scores[[#This Row],[Year]],10)</f>
        <v>1960</v>
      </c>
    </row>
    <row r="129" spans="1:24" x14ac:dyDescent="0.2">
      <c r="A129" s="3">
        <v>128</v>
      </c>
      <c r="B129" t="s">
        <v>1343</v>
      </c>
      <c r="C129" s="5">
        <v>2024</v>
      </c>
      <c r="D129" t="s">
        <v>1344</v>
      </c>
      <c r="E129" t="s">
        <v>1345</v>
      </c>
      <c r="F129" t="s">
        <v>30</v>
      </c>
      <c r="G129" t="s">
        <v>4317</v>
      </c>
      <c r="H129" t="s">
        <v>4317</v>
      </c>
      <c r="I129" s="5">
        <v>86</v>
      </c>
      <c r="J129" s="4">
        <v>8.5</v>
      </c>
      <c r="K129" s="5">
        <v>85</v>
      </c>
      <c r="L129" s="5">
        <v>612042</v>
      </c>
      <c r="M129" s="5">
        <v>79</v>
      </c>
      <c r="N129" s="5">
        <v>83</v>
      </c>
      <c r="O129" s="5">
        <v>262</v>
      </c>
      <c r="Q129" s="5">
        <v>771597</v>
      </c>
      <c r="R129" s="5">
        <v>88</v>
      </c>
      <c r="S129" s="5">
        <v>2282092</v>
      </c>
      <c r="T129" s="5">
        <v>93</v>
      </c>
      <c r="U129" t="s">
        <v>1350</v>
      </c>
      <c r="V129" s="2">
        <v>85.6</v>
      </c>
      <c r="W129" s="5">
        <f>Top_500_Movies_Ranked_by_Combined_Critics_and_Audience_Scores[[#This Row],[Critic_Rating_RT]]-Top_500_Movies_Ranked_by_Combined_Critics_and_Audience_Scores[[#This Row],[Audience_Rating]]</f>
        <v>83</v>
      </c>
      <c r="X129" s="5">
        <f>FLOOR(Top_500_Movies_Ranked_by_Combined_Critics_and_Audience_Scores[[#This Row],[Year]],10)</f>
        <v>2020</v>
      </c>
    </row>
    <row r="130" spans="1:24" x14ac:dyDescent="0.2">
      <c r="A130" s="3">
        <v>129</v>
      </c>
      <c r="B130" t="s">
        <v>1354</v>
      </c>
      <c r="C130" s="5">
        <v>2024</v>
      </c>
      <c r="D130" t="s">
        <v>1355</v>
      </c>
      <c r="E130" t="s">
        <v>1356</v>
      </c>
      <c r="F130" t="s">
        <v>1357</v>
      </c>
      <c r="G130" t="s">
        <v>4317</v>
      </c>
      <c r="H130" t="s">
        <v>4317</v>
      </c>
      <c r="I130" s="5">
        <v>86</v>
      </c>
      <c r="J130" s="4">
        <v>7.9</v>
      </c>
      <c r="K130" s="5">
        <v>79</v>
      </c>
      <c r="L130" s="5">
        <v>58616</v>
      </c>
      <c r="M130" s="5">
        <v>86</v>
      </c>
      <c r="N130" s="5">
        <v>85</v>
      </c>
      <c r="O130" s="5">
        <v>96</v>
      </c>
      <c r="R130" s="5">
        <v>82</v>
      </c>
      <c r="S130" s="5">
        <v>552498</v>
      </c>
      <c r="T130" s="5">
        <v>96</v>
      </c>
      <c r="U130" t="s">
        <v>4317</v>
      </c>
      <c r="V130" s="2">
        <v>85.6</v>
      </c>
      <c r="W130" s="5">
        <f>Top_500_Movies_Ranked_by_Combined_Critics_and_Audience_Scores[[#This Row],[Critic_Rating_RT]]-Top_500_Movies_Ranked_by_Combined_Critics_and_Audience_Scores[[#This Row],[Audience_Rating]]</f>
        <v>85</v>
      </c>
      <c r="X130" s="5">
        <f>FLOOR(Top_500_Movies_Ranked_by_Combined_Critics_and_Audience_Scores[[#This Row],[Year]],10)</f>
        <v>2020</v>
      </c>
    </row>
    <row r="131" spans="1:24" x14ac:dyDescent="0.2">
      <c r="A131" s="3">
        <v>130</v>
      </c>
      <c r="B131" t="s">
        <v>1362</v>
      </c>
      <c r="C131" s="5">
        <v>2008</v>
      </c>
      <c r="D131" t="s">
        <v>1363</v>
      </c>
      <c r="E131" t="s">
        <v>1364</v>
      </c>
      <c r="F131" t="s">
        <v>1366</v>
      </c>
      <c r="G131" t="s">
        <v>1368</v>
      </c>
      <c r="H131" t="s">
        <v>335</v>
      </c>
      <c r="I131" s="5">
        <v>85</v>
      </c>
      <c r="J131" s="4">
        <v>8</v>
      </c>
      <c r="K131" s="5">
        <v>80</v>
      </c>
      <c r="L131" s="5">
        <v>61610</v>
      </c>
      <c r="M131" s="5">
        <v>91</v>
      </c>
      <c r="N131" s="5">
        <v>86</v>
      </c>
      <c r="O131" s="5">
        <v>107</v>
      </c>
      <c r="P131" s="5">
        <v>87</v>
      </c>
      <c r="Q131" s="5">
        <v>45622</v>
      </c>
      <c r="R131" s="5">
        <v>80</v>
      </c>
      <c r="S131" s="5">
        <v>48820</v>
      </c>
      <c r="T131" s="5">
        <v>89</v>
      </c>
      <c r="U131" t="s">
        <v>75</v>
      </c>
      <c r="V131" s="2">
        <v>85.5</v>
      </c>
      <c r="W131" s="5">
        <f>Top_500_Movies_Ranked_by_Combined_Critics_and_Audience_Scores[[#This Row],[Critic_Rating_RT]]-Top_500_Movies_Ranked_by_Combined_Critics_and_Audience_Scores[[#This Row],[Audience_Rating]]</f>
        <v>-1</v>
      </c>
      <c r="X131" s="5">
        <f>FLOOR(Top_500_Movies_Ranked_by_Combined_Critics_and_Audience_Scores[[#This Row],[Year]],10)</f>
        <v>2000</v>
      </c>
    </row>
    <row r="132" spans="1:24" x14ac:dyDescent="0.2">
      <c r="A132" s="3">
        <v>131</v>
      </c>
      <c r="B132" t="s">
        <v>1374</v>
      </c>
      <c r="C132" s="5">
        <v>2007</v>
      </c>
      <c r="D132" t="s">
        <v>1375</v>
      </c>
      <c r="E132" t="s">
        <v>1376</v>
      </c>
      <c r="F132" t="s">
        <v>321</v>
      </c>
      <c r="G132" t="s">
        <v>1379</v>
      </c>
      <c r="H132" t="s">
        <v>335</v>
      </c>
      <c r="I132" s="5">
        <v>85</v>
      </c>
      <c r="J132" s="4">
        <v>8</v>
      </c>
      <c r="K132" s="5">
        <v>80</v>
      </c>
      <c r="L132" s="5">
        <v>102558</v>
      </c>
      <c r="M132" s="5">
        <v>90</v>
      </c>
      <c r="N132" s="5">
        <v>84</v>
      </c>
      <c r="O132" s="5">
        <v>114</v>
      </c>
      <c r="P132" s="5">
        <v>88</v>
      </c>
      <c r="Q132" s="5">
        <v>90152</v>
      </c>
      <c r="R132" s="5">
        <v>84</v>
      </c>
      <c r="S132" s="5">
        <v>169387</v>
      </c>
      <c r="T132" s="5">
        <v>87</v>
      </c>
      <c r="U132" t="s">
        <v>75</v>
      </c>
      <c r="V132" s="2">
        <v>85.5</v>
      </c>
      <c r="W132" s="5">
        <f>Top_500_Movies_Ranked_by_Combined_Critics_and_Audience_Scores[[#This Row],[Critic_Rating_RT]]-Top_500_Movies_Ranked_by_Combined_Critics_and_Audience_Scores[[#This Row],[Audience_Rating]]</f>
        <v>-4</v>
      </c>
      <c r="X132" s="5">
        <f>FLOOR(Top_500_Movies_Ranked_by_Combined_Critics_and_Audience_Scores[[#This Row],[Year]],10)</f>
        <v>2000</v>
      </c>
    </row>
    <row r="133" spans="1:24" x14ac:dyDescent="0.2">
      <c r="A133" s="3">
        <v>132</v>
      </c>
      <c r="B133" t="s">
        <v>1384</v>
      </c>
      <c r="C133" s="5">
        <v>2018</v>
      </c>
      <c r="D133" t="s">
        <v>1161</v>
      </c>
      <c r="E133" t="s">
        <v>1385</v>
      </c>
      <c r="F133" t="s">
        <v>30</v>
      </c>
      <c r="G133" t="s">
        <v>4317</v>
      </c>
      <c r="H133" t="s">
        <v>4317</v>
      </c>
      <c r="I133" s="5">
        <v>85</v>
      </c>
      <c r="J133" s="4">
        <v>8.3000000000000007</v>
      </c>
      <c r="K133" s="5">
        <v>83</v>
      </c>
      <c r="L133" s="5">
        <v>27589</v>
      </c>
      <c r="M133" s="5">
        <v>85</v>
      </c>
      <c r="N133" s="5">
        <v>87</v>
      </c>
      <c r="O133" s="5">
        <v>138</v>
      </c>
      <c r="P133" s="5">
        <v>90</v>
      </c>
      <c r="Q133" s="5">
        <v>29872</v>
      </c>
      <c r="R133" s="5">
        <v>84</v>
      </c>
      <c r="S133" s="5">
        <v>80612</v>
      </c>
      <c r="T133" s="5">
        <v>84</v>
      </c>
      <c r="U133" t="s">
        <v>75</v>
      </c>
      <c r="V133" s="2">
        <v>85.5</v>
      </c>
      <c r="W133" s="5">
        <f>Top_500_Movies_Ranked_by_Combined_Critics_and_Audience_Scores[[#This Row],[Critic_Rating_RT]]-Top_500_Movies_Ranked_by_Combined_Critics_and_Audience_Scores[[#This Row],[Audience_Rating]]</f>
        <v>-3</v>
      </c>
      <c r="X133" s="5">
        <f>FLOOR(Top_500_Movies_Ranked_by_Combined_Critics_and_Audience_Scores[[#This Row],[Year]],10)</f>
        <v>2010</v>
      </c>
    </row>
    <row r="134" spans="1:24" x14ac:dyDescent="0.2">
      <c r="A134" s="3">
        <v>133</v>
      </c>
      <c r="B134" t="s">
        <v>1392</v>
      </c>
      <c r="C134" s="5">
        <v>2015</v>
      </c>
      <c r="D134" t="s">
        <v>1393</v>
      </c>
      <c r="E134" t="s">
        <v>1394</v>
      </c>
      <c r="F134" t="s">
        <v>30</v>
      </c>
      <c r="G134" t="s">
        <v>1397</v>
      </c>
      <c r="H134" t="s">
        <v>747</v>
      </c>
      <c r="I134" s="5">
        <v>85</v>
      </c>
      <c r="J134" s="4">
        <v>8.1</v>
      </c>
      <c r="K134" s="5">
        <v>81</v>
      </c>
      <c r="L134" s="5">
        <v>860273</v>
      </c>
      <c r="M134" s="5">
        <v>94</v>
      </c>
      <c r="N134" s="5">
        <v>90</v>
      </c>
      <c r="O134" s="5">
        <v>254</v>
      </c>
      <c r="P134" s="5">
        <v>86</v>
      </c>
      <c r="Q134" s="5">
        <v>851631</v>
      </c>
      <c r="R134" s="5">
        <v>76</v>
      </c>
      <c r="S134" s="5">
        <v>2277929</v>
      </c>
      <c r="T134" s="5">
        <v>86</v>
      </c>
      <c r="U134" t="s">
        <v>444</v>
      </c>
      <c r="V134" s="2">
        <v>85.5</v>
      </c>
      <c r="W134" s="5">
        <f>Top_500_Movies_Ranked_by_Combined_Critics_and_Audience_Scores[[#This Row],[Critic_Rating_RT]]-Top_500_Movies_Ranked_by_Combined_Critics_and_Audience_Scores[[#This Row],[Audience_Rating]]</f>
        <v>4</v>
      </c>
      <c r="X134" s="5">
        <f>FLOOR(Top_500_Movies_Ranked_by_Combined_Critics_and_Audience_Scores[[#This Row],[Year]],10)</f>
        <v>2010</v>
      </c>
    </row>
    <row r="135" spans="1:24" x14ac:dyDescent="0.2">
      <c r="A135" s="3">
        <v>134</v>
      </c>
      <c r="B135" t="s">
        <v>1402</v>
      </c>
      <c r="C135" s="5">
        <v>2009</v>
      </c>
      <c r="D135" t="s">
        <v>1403</v>
      </c>
      <c r="E135" t="s">
        <v>1394</v>
      </c>
      <c r="F135" t="s">
        <v>30</v>
      </c>
      <c r="G135" t="s">
        <v>1406</v>
      </c>
      <c r="H135" t="s">
        <v>145</v>
      </c>
      <c r="I135" s="5">
        <v>85</v>
      </c>
      <c r="J135" s="4">
        <v>8.3000000000000007</v>
      </c>
      <c r="K135" s="5">
        <v>83</v>
      </c>
      <c r="L135" s="5">
        <v>1173646</v>
      </c>
      <c r="M135" s="5">
        <v>88</v>
      </c>
      <c r="N135" s="5">
        <v>87</v>
      </c>
      <c r="O135" s="5">
        <v>201</v>
      </c>
      <c r="P135" s="5">
        <v>87</v>
      </c>
      <c r="Q135" s="5">
        <v>1493295</v>
      </c>
      <c r="R135" s="5">
        <v>82</v>
      </c>
      <c r="S135" s="5">
        <v>2069307</v>
      </c>
      <c r="T135" s="5">
        <v>86</v>
      </c>
      <c r="U135" t="s">
        <v>444</v>
      </c>
      <c r="V135" s="2">
        <v>85.5</v>
      </c>
      <c r="W135" s="5">
        <f>Top_500_Movies_Ranked_by_Combined_Critics_and_Audience_Scores[[#This Row],[Critic_Rating_RT]]-Top_500_Movies_Ranked_by_Combined_Critics_and_Audience_Scores[[#This Row],[Audience_Rating]]</f>
        <v>0</v>
      </c>
      <c r="X135" s="5">
        <f>FLOOR(Top_500_Movies_Ranked_by_Combined_Critics_and_Audience_Scores[[#This Row],[Year]],10)</f>
        <v>2000</v>
      </c>
    </row>
    <row r="136" spans="1:24" x14ac:dyDescent="0.2">
      <c r="A136" s="3">
        <v>135</v>
      </c>
      <c r="B136" t="s">
        <v>1411</v>
      </c>
      <c r="C136" s="5">
        <v>2017</v>
      </c>
      <c r="D136" t="s">
        <v>1412</v>
      </c>
      <c r="E136" t="s">
        <v>1413</v>
      </c>
      <c r="F136" t="s">
        <v>30</v>
      </c>
      <c r="G136" t="s">
        <v>4317</v>
      </c>
      <c r="H136" t="s">
        <v>4317</v>
      </c>
      <c r="I136" s="5">
        <v>85</v>
      </c>
      <c r="J136" s="4">
        <v>7.8</v>
      </c>
      <c r="K136" s="5">
        <v>78</v>
      </c>
      <c r="L136" s="5">
        <v>337407</v>
      </c>
      <c r="M136" s="5">
        <v>94</v>
      </c>
      <c r="N136" s="5">
        <v>90</v>
      </c>
      <c r="O136" s="5">
        <v>237</v>
      </c>
      <c r="P136" s="5">
        <v>84</v>
      </c>
      <c r="Q136" s="5">
        <v>691944</v>
      </c>
      <c r="R136" s="5">
        <v>78</v>
      </c>
      <c r="S136" s="5">
        <v>2041245</v>
      </c>
      <c r="T136" s="5">
        <v>89</v>
      </c>
      <c r="U136" t="s">
        <v>1418</v>
      </c>
      <c r="V136" s="2">
        <v>85.5</v>
      </c>
      <c r="W136" s="5">
        <f>Top_500_Movies_Ranked_by_Combined_Critics_and_Audience_Scores[[#This Row],[Critic_Rating_RT]]-Top_500_Movies_Ranked_by_Combined_Critics_and_Audience_Scores[[#This Row],[Audience_Rating]]</f>
        <v>6</v>
      </c>
      <c r="X136" s="5">
        <f>FLOOR(Top_500_Movies_Ranked_by_Combined_Critics_and_Audience_Scores[[#This Row],[Year]],10)</f>
        <v>2010</v>
      </c>
    </row>
    <row r="137" spans="1:24" x14ac:dyDescent="0.2">
      <c r="A137" s="3">
        <v>136</v>
      </c>
      <c r="B137" t="s">
        <v>1421</v>
      </c>
      <c r="C137" s="5">
        <v>2023</v>
      </c>
      <c r="D137" t="s">
        <v>519</v>
      </c>
      <c r="E137" t="s">
        <v>1199</v>
      </c>
      <c r="F137" t="s">
        <v>30</v>
      </c>
      <c r="G137" t="s">
        <v>4317</v>
      </c>
      <c r="H137" t="s">
        <v>4317</v>
      </c>
      <c r="I137" s="5">
        <v>85</v>
      </c>
      <c r="J137" s="4">
        <v>8.3000000000000007</v>
      </c>
      <c r="K137" s="5">
        <v>83</v>
      </c>
      <c r="L137" s="5">
        <v>864475</v>
      </c>
      <c r="M137" s="5">
        <v>90</v>
      </c>
      <c r="N137" s="5">
        <v>87</v>
      </c>
      <c r="O137" s="5">
        <v>302</v>
      </c>
      <c r="Q137" s="5">
        <v>1000378</v>
      </c>
      <c r="R137" s="5">
        <v>84</v>
      </c>
      <c r="S137" s="5">
        <v>2917402</v>
      </c>
      <c r="T137" s="5">
        <v>83</v>
      </c>
      <c r="U137" t="s">
        <v>4317</v>
      </c>
      <c r="V137" s="2">
        <v>85.4</v>
      </c>
      <c r="W137" s="5">
        <f>Top_500_Movies_Ranked_by_Combined_Critics_and_Audience_Scores[[#This Row],[Critic_Rating_RT]]-Top_500_Movies_Ranked_by_Combined_Critics_and_Audience_Scores[[#This Row],[Audience_Rating]]</f>
        <v>87</v>
      </c>
      <c r="X137" s="5">
        <f>FLOOR(Top_500_Movies_Ranked_by_Combined_Critics_and_Audience_Scores[[#This Row],[Year]],10)</f>
        <v>2020</v>
      </c>
    </row>
    <row r="138" spans="1:24" x14ac:dyDescent="0.2">
      <c r="A138" s="3">
        <v>137</v>
      </c>
      <c r="B138" t="s">
        <v>1429</v>
      </c>
      <c r="C138" s="5">
        <v>2020</v>
      </c>
      <c r="D138" t="s">
        <v>65</v>
      </c>
      <c r="E138" t="s">
        <v>1430</v>
      </c>
      <c r="F138" t="s">
        <v>30</v>
      </c>
      <c r="G138" t="s">
        <v>4317</v>
      </c>
      <c r="H138" t="s">
        <v>4317</v>
      </c>
      <c r="I138" s="5">
        <v>85</v>
      </c>
      <c r="J138" s="4">
        <v>8.1999999999999993</v>
      </c>
      <c r="K138" s="5">
        <v>82</v>
      </c>
      <c r="L138" s="5">
        <v>211198</v>
      </c>
      <c r="M138" s="5">
        <v>88</v>
      </c>
      <c r="N138" s="5">
        <v>87</v>
      </c>
      <c r="O138" s="5">
        <v>184</v>
      </c>
      <c r="Q138" s="5">
        <v>119435</v>
      </c>
      <c r="R138" s="5">
        <v>86</v>
      </c>
      <c r="S138" s="5">
        <v>353409</v>
      </c>
      <c r="T138" s="5">
        <v>84</v>
      </c>
      <c r="U138" t="s">
        <v>617</v>
      </c>
      <c r="V138" s="2">
        <v>85.4</v>
      </c>
      <c r="W138" s="5">
        <f>Top_500_Movies_Ranked_by_Combined_Critics_and_Audience_Scores[[#This Row],[Critic_Rating_RT]]-Top_500_Movies_Ranked_by_Combined_Critics_and_Audience_Scores[[#This Row],[Audience_Rating]]</f>
        <v>87</v>
      </c>
      <c r="X138" s="5">
        <f>FLOOR(Top_500_Movies_Ranked_by_Combined_Critics_and_Audience_Scores[[#This Row],[Year]],10)</f>
        <v>2020</v>
      </c>
    </row>
    <row r="139" spans="1:24" x14ac:dyDescent="0.2">
      <c r="A139" s="3">
        <v>138</v>
      </c>
      <c r="B139" t="s">
        <v>1437</v>
      </c>
      <c r="C139" s="5">
        <v>1954</v>
      </c>
      <c r="D139" t="s">
        <v>65</v>
      </c>
      <c r="E139" t="s">
        <v>920</v>
      </c>
      <c r="F139" t="s">
        <v>189</v>
      </c>
      <c r="G139" t="s">
        <v>1440</v>
      </c>
      <c r="H139" t="s">
        <v>70</v>
      </c>
      <c r="I139" s="5">
        <v>84</v>
      </c>
      <c r="J139" s="4">
        <v>8</v>
      </c>
      <c r="K139" s="5">
        <v>80</v>
      </c>
      <c r="L139" s="5">
        <v>68087</v>
      </c>
      <c r="N139" s="5">
        <v>90</v>
      </c>
      <c r="O139" s="5">
        <v>55</v>
      </c>
      <c r="P139" s="5">
        <v>89</v>
      </c>
      <c r="Q139" s="5">
        <v>37323</v>
      </c>
      <c r="R139" s="5">
        <v>84</v>
      </c>
      <c r="S139" s="5">
        <v>69523</v>
      </c>
      <c r="T139" s="5">
        <v>84</v>
      </c>
      <c r="U139" t="s">
        <v>978</v>
      </c>
      <c r="V139" s="2">
        <v>85.4</v>
      </c>
      <c r="W139" s="5">
        <f>Top_500_Movies_Ranked_by_Combined_Critics_and_Audience_Scores[[#This Row],[Critic_Rating_RT]]-Top_500_Movies_Ranked_by_Combined_Critics_and_Audience_Scores[[#This Row],[Audience_Rating]]</f>
        <v>1</v>
      </c>
      <c r="X139" s="5">
        <f>FLOOR(Top_500_Movies_Ranked_by_Combined_Critics_and_Audience_Scores[[#This Row],[Year]],10)</f>
        <v>1950</v>
      </c>
    </row>
    <row r="140" spans="1:24" x14ac:dyDescent="0.2">
      <c r="A140" s="3">
        <v>139</v>
      </c>
      <c r="B140" t="s">
        <v>1445</v>
      </c>
      <c r="C140" s="5">
        <v>2007</v>
      </c>
      <c r="D140" t="s">
        <v>65</v>
      </c>
      <c r="E140" t="s">
        <v>1446</v>
      </c>
      <c r="F140" t="s">
        <v>1448</v>
      </c>
      <c r="G140" t="s">
        <v>1450</v>
      </c>
      <c r="H140" t="s">
        <v>1451</v>
      </c>
      <c r="I140" s="5">
        <v>85</v>
      </c>
      <c r="J140" s="4">
        <v>7.9</v>
      </c>
      <c r="K140" s="5">
        <v>79</v>
      </c>
      <c r="L140" s="5">
        <v>64547</v>
      </c>
      <c r="M140" s="5">
        <v>97</v>
      </c>
      <c r="N140" s="5">
        <v>87</v>
      </c>
      <c r="O140" s="5">
        <v>81</v>
      </c>
      <c r="P140" s="5">
        <v>83</v>
      </c>
      <c r="Q140" s="5">
        <v>34030</v>
      </c>
      <c r="R140" s="5">
        <v>84</v>
      </c>
      <c r="S140" s="5">
        <v>48502</v>
      </c>
      <c r="T140" s="5">
        <v>82</v>
      </c>
      <c r="U140" t="s">
        <v>75</v>
      </c>
      <c r="V140" s="2">
        <v>85.33</v>
      </c>
      <c r="W140" s="5">
        <f>Top_500_Movies_Ranked_by_Combined_Critics_and_Audience_Scores[[#This Row],[Critic_Rating_RT]]-Top_500_Movies_Ranked_by_Combined_Critics_and_Audience_Scores[[#This Row],[Audience_Rating]]</f>
        <v>4</v>
      </c>
      <c r="X140" s="5">
        <f>FLOOR(Top_500_Movies_Ranked_by_Combined_Critics_and_Audience_Scores[[#This Row],[Year]],10)</f>
        <v>2000</v>
      </c>
    </row>
    <row r="141" spans="1:24" x14ac:dyDescent="0.2">
      <c r="A141" s="3">
        <v>140</v>
      </c>
      <c r="B141" t="s">
        <v>1457</v>
      </c>
      <c r="C141" s="5">
        <v>2014</v>
      </c>
      <c r="D141" t="s">
        <v>992</v>
      </c>
      <c r="E141" t="s">
        <v>1458</v>
      </c>
      <c r="F141" t="s">
        <v>30</v>
      </c>
      <c r="G141" t="s">
        <v>1461</v>
      </c>
      <c r="H141" t="s">
        <v>1462</v>
      </c>
      <c r="I141" s="5">
        <v>85</v>
      </c>
      <c r="J141" s="4">
        <v>8.1</v>
      </c>
      <c r="K141" s="5">
        <v>81</v>
      </c>
      <c r="L141" s="5">
        <v>921664</v>
      </c>
      <c r="M141" s="5">
        <v>88</v>
      </c>
      <c r="N141" s="5">
        <v>86</v>
      </c>
      <c r="O141" s="5">
        <v>231</v>
      </c>
      <c r="P141" s="5">
        <v>84</v>
      </c>
      <c r="Q141" s="5">
        <v>797026</v>
      </c>
      <c r="R141" s="5">
        <v>84</v>
      </c>
      <c r="S141" s="5">
        <v>2192851</v>
      </c>
      <c r="T141" s="5">
        <v>89</v>
      </c>
      <c r="U141" t="s">
        <v>1465</v>
      </c>
      <c r="V141" s="2">
        <v>85.33</v>
      </c>
      <c r="W141" s="5">
        <f>Top_500_Movies_Ranked_by_Combined_Critics_and_Audience_Scores[[#This Row],[Critic_Rating_RT]]-Top_500_Movies_Ranked_by_Combined_Critics_and_Audience_Scores[[#This Row],[Audience_Rating]]</f>
        <v>2</v>
      </c>
      <c r="X141" s="5">
        <f>FLOOR(Top_500_Movies_Ranked_by_Combined_Critics_and_Audience_Scores[[#This Row],[Year]],10)</f>
        <v>2010</v>
      </c>
    </row>
    <row r="142" spans="1:24" x14ac:dyDescent="0.2">
      <c r="A142" s="3">
        <v>141</v>
      </c>
      <c r="B142" t="s">
        <v>1468</v>
      </c>
      <c r="C142" s="5">
        <v>2003</v>
      </c>
      <c r="D142" t="s">
        <v>1469</v>
      </c>
      <c r="E142" t="s">
        <v>539</v>
      </c>
      <c r="F142" t="s">
        <v>30</v>
      </c>
      <c r="G142" t="s">
        <v>1472</v>
      </c>
      <c r="H142" t="s">
        <v>145</v>
      </c>
      <c r="I142" s="5">
        <v>85</v>
      </c>
      <c r="J142" s="4">
        <v>8.1999999999999993</v>
      </c>
      <c r="K142" s="5">
        <v>82</v>
      </c>
      <c r="L142" s="5">
        <v>1153261</v>
      </c>
      <c r="M142" s="5">
        <v>90</v>
      </c>
      <c r="N142" s="5">
        <v>88</v>
      </c>
      <c r="O142" s="5">
        <v>136</v>
      </c>
      <c r="P142" s="5">
        <v>84</v>
      </c>
      <c r="Q142" s="5">
        <v>22787152</v>
      </c>
      <c r="R142" s="5">
        <v>80</v>
      </c>
      <c r="S142" s="5">
        <v>1647744</v>
      </c>
      <c r="T142" s="5">
        <v>88</v>
      </c>
      <c r="U142" t="s">
        <v>444</v>
      </c>
      <c r="V142" s="2">
        <v>85.33</v>
      </c>
      <c r="W142" s="5">
        <f>Top_500_Movies_Ranked_by_Combined_Critics_and_Audience_Scores[[#This Row],[Critic_Rating_RT]]-Top_500_Movies_Ranked_by_Combined_Critics_and_Audience_Scores[[#This Row],[Audience_Rating]]</f>
        <v>4</v>
      </c>
      <c r="X142" s="5">
        <f>FLOOR(Top_500_Movies_Ranked_by_Combined_Critics_and_Audience_Scores[[#This Row],[Year]],10)</f>
        <v>2000</v>
      </c>
    </row>
    <row r="143" spans="1:24" x14ac:dyDescent="0.2">
      <c r="A143" s="3">
        <v>142</v>
      </c>
      <c r="B143" t="s">
        <v>1477</v>
      </c>
      <c r="C143" s="5">
        <v>1940</v>
      </c>
      <c r="D143" t="s">
        <v>1478</v>
      </c>
      <c r="E143" t="s">
        <v>103</v>
      </c>
      <c r="F143" t="s">
        <v>30</v>
      </c>
      <c r="G143" t="s">
        <v>1481</v>
      </c>
      <c r="H143" t="s">
        <v>167</v>
      </c>
      <c r="I143" s="5">
        <v>85</v>
      </c>
      <c r="J143" s="4">
        <v>8.1</v>
      </c>
      <c r="K143" s="5">
        <v>81</v>
      </c>
      <c r="L143" s="5">
        <v>153711</v>
      </c>
      <c r="M143" s="5">
        <v>86</v>
      </c>
      <c r="N143" s="5">
        <v>88</v>
      </c>
      <c r="O143" s="5">
        <v>87</v>
      </c>
      <c r="P143" s="5">
        <v>88</v>
      </c>
      <c r="Q143" s="5">
        <v>68440</v>
      </c>
      <c r="R143" s="5">
        <v>82</v>
      </c>
      <c r="S143" s="5">
        <v>125899</v>
      </c>
      <c r="T143" s="5">
        <v>87</v>
      </c>
      <c r="U143" t="s">
        <v>4317</v>
      </c>
      <c r="V143" s="2">
        <v>85.33</v>
      </c>
      <c r="W143" s="5">
        <f>Top_500_Movies_Ranked_by_Combined_Critics_and_Audience_Scores[[#This Row],[Critic_Rating_RT]]-Top_500_Movies_Ranked_by_Combined_Critics_and_Audience_Scores[[#This Row],[Audience_Rating]]</f>
        <v>0</v>
      </c>
      <c r="X143" s="5">
        <f>FLOOR(Top_500_Movies_Ranked_by_Combined_Critics_and_Audience_Scores[[#This Row],[Year]],10)</f>
        <v>1940</v>
      </c>
    </row>
    <row r="144" spans="1:24" x14ac:dyDescent="0.2">
      <c r="A144" s="3">
        <v>143</v>
      </c>
      <c r="B144" t="s">
        <v>1486</v>
      </c>
      <c r="C144" s="5">
        <v>1997</v>
      </c>
      <c r="D144" t="s">
        <v>1487</v>
      </c>
      <c r="E144" t="s">
        <v>141</v>
      </c>
      <c r="F144" t="s">
        <v>50</v>
      </c>
      <c r="G144" t="s">
        <v>1490</v>
      </c>
      <c r="H144" t="s">
        <v>118</v>
      </c>
      <c r="I144" s="5">
        <v>84</v>
      </c>
      <c r="J144" s="4">
        <v>8.3000000000000007</v>
      </c>
      <c r="K144" s="5">
        <v>83</v>
      </c>
      <c r="L144" s="5">
        <v>455770</v>
      </c>
      <c r="M144" s="5">
        <v>76</v>
      </c>
      <c r="N144" s="5">
        <v>80</v>
      </c>
      <c r="O144" s="5">
        <v>76</v>
      </c>
      <c r="P144" s="5">
        <v>91</v>
      </c>
      <c r="Q144" s="5">
        <v>506502</v>
      </c>
      <c r="R144" s="5">
        <v>88</v>
      </c>
      <c r="S144" s="5">
        <v>1073861</v>
      </c>
      <c r="T144" s="5">
        <v>94</v>
      </c>
      <c r="U144" t="s">
        <v>135</v>
      </c>
      <c r="V144" s="2">
        <v>85.33</v>
      </c>
      <c r="W144" s="5">
        <f>Top_500_Movies_Ranked_by_Combined_Critics_and_Audience_Scores[[#This Row],[Critic_Rating_RT]]-Top_500_Movies_Ranked_by_Combined_Critics_and_Audience_Scores[[#This Row],[Audience_Rating]]</f>
        <v>-11</v>
      </c>
      <c r="X144" s="5">
        <f>FLOOR(Top_500_Movies_Ranked_by_Combined_Critics_and_Audience_Scores[[#This Row],[Year]],10)</f>
        <v>1990</v>
      </c>
    </row>
    <row r="145" spans="1:24" x14ac:dyDescent="0.2">
      <c r="A145" s="3">
        <v>144</v>
      </c>
      <c r="B145" t="s">
        <v>1495</v>
      </c>
      <c r="C145" s="5">
        <v>2012</v>
      </c>
      <c r="D145" t="s">
        <v>1051</v>
      </c>
      <c r="E145" t="s">
        <v>114</v>
      </c>
      <c r="F145" t="s">
        <v>30</v>
      </c>
      <c r="G145" t="s">
        <v>1498</v>
      </c>
      <c r="H145" t="s">
        <v>1499</v>
      </c>
      <c r="I145" s="5">
        <v>85</v>
      </c>
      <c r="J145" s="4">
        <v>8.5</v>
      </c>
      <c r="K145" s="5">
        <v>85</v>
      </c>
      <c r="L145" s="5">
        <v>1777847</v>
      </c>
      <c r="M145" s="5">
        <v>81</v>
      </c>
      <c r="N145" s="5">
        <v>80</v>
      </c>
      <c r="O145" s="5">
        <v>251</v>
      </c>
      <c r="P145" s="5">
        <v>88</v>
      </c>
      <c r="Q145" s="5">
        <v>1025468</v>
      </c>
      <c r="R145" s="5">
        <v>86</v>
      </c>
      <c r="S145" s="5">
        <v>2213921</v>
      </c>
      <c r="T145" s="5">
        <v>92</v>
      </c>
      <c r="U145" t="s">
        <v>1502</v>
      </c>
      <c r="V145" s="2">
        <v>85.33</v>
      </c>
      <c r="W145" s="5">
        <f>Top_500_Movies_Ranked_by_Combined_Critics_and_Audience_Scores[[#This Row],[Critic_Rating_RT]]-Top_500_Movies_Ranked_by_Combined_Critics_and_Audience_Scores[[#This Row],[Audience_Rating]]</f>
        <v>-8</v>
      </c>
      <c r="X145" s="5">
        <f>FLOOR(Top_500_Movies_Ranked_by_Combined_Critics_and_Audience_Scores[[#This Row],[Year]],10)</f>
        <v>2010</v>
      </c>
    </row>
    <row r="146" spans="1:24" x14ac:dyDescent="0.2">
      <c r="A146" s="3">
        <v>145</v>
      </c>
      <c r="B146" t="s">
        <v>1505</v>
      </c>
      <c r="C146" s="5">
        <v>1951</v>
      </c>
      <c r="D146" t="s">
        <v>278</v>
      </c>
      <c r="E146" t="s">
        <v>103</v>
      </c>
      <c r="F146" t="s">
        <v>30</v>
      </c>
      <c r="G146" t="s">
        <v>1508</v>
      </c>
      <c r="H146" t="s">
        <v>1509</v>
      </c>
      <c r="I146" s="5">
        <v>85</v>
      </c>
      <c r="J146" s="4">
        <v>7.9</v>
      </c>
      <c r="K146" s="5">
        <v>79</v>
      </c>
      <c r="L146" s="5">
        <v>145086</v>
      </c>
      <c r="M146" s="5">
        <v>88</v>
      </c>
      <c r="N146" s="5">
        <v>88</v>
      </c>
      <c r="O146" s="5">
        <v>53</v>
      </c>
      <c r="P146" s="5">
        <v>88</v>
      </c>
      <c r="Q146" s="5">
        <v>68681</v>
      </c>
      <c r="R146" s="5">
        <v>82</v>
      </c>
      <c r="S146" s="5">
        <v>134227</v>
      </c>
      <c r="T146" s="5">
        <v>87</v>
      </c>
      <c r="U146" t="s">
        <v>75</v>
      </c>
      <c r="V146" s="2">
        <v>85.33</v>
      </c>
      <c r="W146" s="5">
        <f>Top_500_Movies_Ranked_by_Combined_Critics_and_Audience_Scores[[#This Row],[Critic_Rating_RT]]-Top_500_Movies_Ranked_by_Combined_Critics_and_Audience_Scores[[#This Row],[Audience_Rating]]</f>
        <v>0</v>
      </c>
      <c r="X146" s="5">
        <f>FLOOR(Top_500_Movies_Ranked_by_Combined_Critics_and_Audience_Scores[[#This Row],[Year]],10)</f>
        <v>1950</v>
      </c>
    </row>
    <row r="147" spans="1:24" x14ac:dyDescent="0.2">
      <c r="A147" s="3">
        <v>146</v>
      </c>
      <c r="B147" t="s">
        <v>1514</v>
      </c>
      <c r="C147" s="5">
        <v>1962</v>
      </c>
      <c r="D147" t="s">
        <v>1515</v>
      </c>
      <c r="E147" t="s">
        <v>1516</v>
      </c>
      <c r="F147" t="s">
        <v>30</v>
      </c>
      <c r="G147" t="s">
        <v>1519</v>
      </c>
      <c r="H147" t="s">
        <v>1520</v>
      </c>
      <c r="I147" s="5">
        <v>85</v>
      </c>
      <c r="J147" s="4">
        <v>7.9</v>
      </c>
      <c r="K147" s="5">
        <v>79</v>
      </c>
      <c r="L147" s="5">
        <v>82236</v>
      </c>
      <c r="M147" s="5">
        <v>94</v>
      </c>
      <c r="N147" s="5">
        <v>90</v>
      </c>
      <c r="O147" s="5">
        <v>55</v>
      </c>
      <c r="P147" s="5">
        <v>86</v>
      </c>
      <c r="Q147" s="5">
        <v>36997</v>
      </c>
      <c r="R147" s="5">
        <v>80</v>
      </c>
      <c r="S147" s="5">
        <v>48018</v>
      </c>
      <c r="T147" s="5">
        <v>83</v>
      </c>
      <c r="U147" t="s">
        <v>253</v>
      </c>
      <c r="V147" s="2">
        <v>85.33</v>
      </c>
      <c r="W147" s="5">
        <f>Top_500_Movies_Ranked_by_Combined_Critics_and_Audience_Scores[[#This Row],[Critic_Rating_RT]]-Top_500_Movies_Ranked_by_Combined_Critics_and_Audience_Scores[[#This Row],[Audience_Rating]]</f>
        <v>4</v>
      </c>
      <c r="X147" s="5">
        <f>FLOOR(Top_500_Movies_Ranked_by_Combined_Critics_and_Audience_Scores[[#This Row],[Year]],10)</f>
        <v>1960</v>
      </c>
    </row>
    <row r="148" spans="1:24" x14ac:dyDescent="0.2">
      <c r="A148" s="3">
        <v>147</v>
      </c>
      <c r="B148" t="s">
        <v>1525</v>
      </c>
      <c r="C148" s="5">
        <v>2004</v>
      </c>
      <c r="D148" t="s">
        <v>1526</v>
      </c>
      <c r="E148" t="s">
        <v>141</v>
      </c>
      <c r="F148" t="s">
        <v>50</v>
      </c>
      <c r="G148" t="s">
        <v>1529</v>
      </c>
      <c r="H148" t="s">
        <v>626</v>
      </c>
      <c r="I148" s="5">
        <v>84</v>
      </c>
      <c r="J148" s="4">
        <v>8.1999999999999993</v>
      </c>
      <c r="K148" s="5">
        <v>82</v>
      </c>
      <c r="L148" s="5">
        <v>478277</v>
      </c>
      <c r="M148" s="5">
        <v>82</v>
      </c>
      <c r="N148" s="5">
        <v>77</v>
      </c>
      <c r="O148" s="5">
        <v>124</v>
      </c>
      <c r="P148" s="5">
        <v>90</v>
      </c>
      <c r="Q148" s="5">
        <v>578280</v>
      </c>
      <c r="R148" s="5">
        <v>86</v>
      </c>
      <c r="S148" s="5">
        <v>1640560</v>
      </c>
      <c r="T148" s="5">
        <v>95</v>
      </c>
      <c r="U148" t="s">
        <v>135</v>
      </c>
      <c r="V148" s="2">
        <v>85.33</v>
      </c>
      <c r="W148" s="5">
        <f>Top_500_Movies_Ranked_by_Combined_Critics_and_Audience_Scores[[#This Row],[Critic_Rating_RT]]-Top_500_Movies_Ranked_by_Combined_Critics_and_Audience_Scores[[#This Row],[Audience_Rating]]</f>
        <v>-13</v>
      </c>
      <c r="X148" s="5">
        <f>FLOOR(Top_500_Movies_Ranked_by_Combined_Critics_and_Audience_Scores[[#This Row],[Year]],10)</f>
        <v>2000</v>
      </c>
    </row>
    <row r="149" spans="1:24" x14ac:dyDescent="0.2">
      <c r="A149" s="3">
        <v>148</v>
      </c>
      <c r="B149" t="s">
        <v>1534</v>
      </c>
      <c r="C149" s="5">
        <v>1996</v>
      </c>
      <c r="D149" t="s">
        <v>27</v>
      </c>
      <c r="E149" t="s">
        <v>1535</v>
      </c>
      <c r="F149" t="s">
        <v>30</v>
      </c>
      <c r="G149" t="s">
        <v>1538</v>
      </c>
      <c r="H149" t="s">
        <v>118</v>
      </c>
      <c r="I149" s="5">
        <v>85</v>
      </c>
      <c r="J149" s="4">
        <v>8.1</v>
      </c>
      <c r="K149" s="5">
        <v>81</v>
      </c>
      <c r="L149" s="5">
        <v>746303</v>
      </c>
      <c r="M149" s="5">
        <v>83</v>
      </c>
      <c r="N149" s="5">
        <v>83</v>
      </c>
      <c r="O149" s="5">
        <v>67</v>
      </c>
      <c r="P149" s="5">
        <v>89</v>
      </c>
      <c r="Q149" s="5">
        <v>500240</v>
      </c>
      <c r="R149" s="5">
        <v>84</v>
      </c>
      <c r="S149" s="5">
        <v>872482</v>
      </c>
      <c r="T149" s="5">
        <v>92</v>
      </c>
      <c r="U149" t="s">
        <v>75</v>
      </c>
      <c r="V149" s="2">
        <v>85.33</v>
      </c>
      <c r="W149" s="5">
        <f>Top_500_Movies_Ranked_by_Combined_Critics_and_Audience_Scores[[#This Row],[Critic_Rating_RT]]-Top_500_Movies_Ranked_by_Combined_Critics_and_Audience_Scores[[#This Row],[Audience_Rating]]</f>
        <v>-6</v>
      </c>
      <c r="X149" s="5">
        <f>FLOOR(Top_500_Movies_Ranked_by_Combined_Critics_and_Audience_Scores[[#This Row],[Year]],10)</f>
        <v>1990</v>
      </c>
    </row>
    <row r="150" spans="1:24" x14ac:dyDescent="0.2">
      <c r="A150" s="3">
        <v>149</v>
      </c>
      <c r="B150" t="s">
        <v>1543</v>
      </c>
      <c r="C150" s="5">
        <v>1954</v>
      </c>
      <c r="D150" t="s">
        <v>1544</v>
      </c>
      <c r="E150" t="s">
        <v>1545</v>
      </c>
      <c r="F150" t="s">
        <v>30</v>
      </c>
      <c r="G150" t="s">
        <v>1548</v>
      </c>
      <c r="H150" t="s">
        <v>203</v>
      </c>
      <c r="I150" s="5">
        <v>84</v>
      </c>
      <c r="J150" s="4">
        <v>8.1</v>
      </c>
      <c r="K150" s="5">
        <v>81</v>
      </c>
      <c r="L150" s="5">
        <v>171135</v>
      </c>
      <c r="M150" s="5">
        <v>91</v>
      </c>
      <c r="N150" s="5">
        <v>92</v>
      </c>
      <c r="O150" s="5">
        <v>72</v>
      </c>
      <c r="P150" s="5">
        <v>91</v>
      </c>
      <c r="Q150" s="5">
        <v>73211</v>
      </c>
      <c r="R150" s="5">
        <v>84</v>
      </c>
      <c r="S150" s="5">
        <v>114779</v>
      </c>
      <c r="T150" s="5">
        <v>72</v>
      </c>
      <c r="U150" t="s">
        <v>135</v>
      </c>
      <c r="V150" s="2">
        <v>85.17</v>
      </c>
      <c r="W150" s="5">
        <f>Top_500_Movies_Ranked_by_Combined_Critics_and_Audience_Scores[[#This Row],[Critic_Rating_RT]]-Top_500_Movies_Ranked_by_Combined_Critics_and_Audience_Scores[[#This Row],[Audience_Rating]]</f>
        <v>1</v>
      </c>
      <c r="X150" s="5">
        <f>FLOOR(Top_500_Movies_Ranked_by_Combined_Critics_and_Audience_Scores[[#This Row],[Year]],10)</f>
        <v>1950</v>
      </c>
    </row>
    <row r="151" spans="1:24" x14ac:dyDescent="0.2">
      <c r="A151" s="3">
        <v>150</v>
      </c>
      <c r="B151" t="s">
        <v>1555</v>
      </c>
      <c r="C151" s="5">
        <v>1977</v>
      </c>
      <c r="D151" t="s">
        <v>126</v>
      </c>
      <c r="E151" t="s">
        <v>1556</v>
      </c>
      <c r="F151" t="s">
        <v>30</v>
      </c>
      <c r="G151" t="s">
        <v>1559</v>
      </c>
      <c r="H151" t="s">
        <v>167</v>
      </c>
      <c r="I151" s="5">
        <v>84</v>
      </c>
      <c r="J151" s="4">
        <v>7.9</v>
      </c>
      <c r="K151" s="5">
        <v>79</v>
      </c>
      <c r="L151" s="5">
        <v>283270</v>
      </c>
      <c r="M151" s="5">
        <v>92</v>
      </c>
      <c r="N151" s="5">
        <v>91</v>
      </c>
      <c r="O151" s="5">
        <v>83</v>
      </c>
      <c r="P151" s="5">
        <v>88</v>
      </c>
      <c r="Q151" s="5">
        <v>192804</v>
      </c>
      <c r="R151" s="5">
        <v>80</v>
      </c>
      <c r="S151" s="5">
        <v>270384</v>
      </c>
      <c r="T151" s="5">
        <v>80</v>
      </c>
      <c r="U151" t="s">
        <v>253</v>
      </c>
      <c r="V151" s="2">
        <v>85</v>
      </c>
      <c r="W151" s="5">
        <f>Top_500_Movies_Ranked_by_Combined_Critics_and_Audience_Scores[[#This Row],[Critic_Rating_RT]]-Top_500_Movies_Ranked_by_Combined_Critics_and_Audience_Scores[[#This Row],[Audience_Rating]]</f>
        <v>3</v>
      </c>
      <c r="X151" s="5">
        <f>FLOOR(Top_500_Movies_Ranked_by_Combined_Critics_and_Audience_Scores[[#This Row],[Year]],10)</f>
        <v>1970</v>
      </c>
    </row>
    <row r="152" spans="1:24" x14ac:dyDescent="0.2">
      <c r="A152" s="3">
        <v>151</v>
      </c>
      <c r="B152" t="s">
        <v>1564</v>
      </c>
      <c r="C152" s="5">
        <v>2013</v>
      </c>
      <c r="D152" t="s">
        <v>1565</v>
      </c>
      <c r="E152" t="s">
        <v>1566</v>
      </c>
      <c r="F152" t="s">
        <v>50</v>
      </c>
      <c r="G152" t="s">
        <v>1569</v>
      </c>
      <c r="H152" t="s">
        <v>1570</v>
      </c>
      <c r="I152" s="5">
        <v>84</v>
      </c>
      <c r="J152" s="4">
        <v>8</v>
      </c>
      <c r="K152" s="5">
        <v>80</v>
      </c>
      <c r="L152" s="5">
        <v>57724</v>
      </c>
      <c r="M152" s="5">
        <v>89</v>
      </c>
      <c r="N152" s="5">
        <v>85</v>
      </c>
      <c r="O152" s="5">
        <v>75</v>
      </c>
      <c r="P152" s="5">
        <v>87</v>
      </c>
      <c r="Q152" s="5">
        <v>79846</v>
      </c>
      <c r="R152" s="5">
        <v>84</v>
      </c>
      <c r="S152" s="5">
        <v>211180</v>
      </c>
      <c r="T152" s="5">
        <v>85</v>
      </c>
      <c r="U152" t="s">
        <v>1573</v>
      </c>
      <c r="V152" s="2">
        <v>85</v>
      </c>
      <c r="W152" s="5">
        <f>Top_500_Movies_Ranked_by_Combined_Critics_and_Audience_Scores[[#This Row],[Critic_Rating_RT]]-Top_500_Movies_Ranked_by_Combined_Critics_and_Audience_Scores[[#This Row],[Audience_Rating]]</f>
        <v>-2</v>
      </c>
      <c r="X152" s="5">
        <f>FLOOR(Top_500_Movies_Ranked_by_Combined_Critics_and_Audience_Scores[[#This Row],[Year]],10)</f>
        <v>2010</v>
      </c>
    </row>
    <row r="153" spans="1:24" x14ac:dyDescent="0.2">
      <c r="A153" s="3">
        <v>152</v>
      </c>
      <c r="B153" t="s">
        <v>1576</v>
      </c>
      <c r="C153" s="5">
        <v>1975</v>
      </c>
      <c r="D153" t="s">
        <v>571</v>
      </c>
      <c r="E153" t="s">
        <v>66</v>
      </c>
      <c r="F153" t="s">
        <v>30</v>
      </c>
      <c r="G153" t="s">
        <v>440</v>
      </c>
      <c r="H153" t="s">
        <v>1579</v>
      </c>
      <c r="I153" s="5">
        <v>85</v>
      </c>
      <c r="J153" s="4">
        <v>8</v>
      </c>
      <c r="K153" s="5">
        <v>80</v>
      </c>
      <c r="L153" s="5">
        <v>280757</v>
      </c>
      <c r="M153" s="5">
        <v>86</v>
      </c>
      <c r="N153" s="5">
        <v>86</v>
      </c>
      <c r="O153" s="5">
        <v>67</v>
      </c>
      <c r="P153" s="5">
        <v>87</v>
      </c>
      <c r="Q153" s="5">
        <v>187550</v>
      </c>
      <c r="R153" s="5">
        <v>86</v>
      </c>
      <c r="S153" s="5">
        <v>341549</v>
      </c>
      <c r="T153" s="5">
        <v>85</v>
      </c>
      <c r="U153" t="s">
        <v>75</v>
      </c>
      <c r="V153" s="2">
        <v>85</v>
      </c>
      <c r="W153" s="5">
        <f>Top_500_Movies_Ranked_by_Combined_Critics_and_Audience_Scores[[#This Row],[Critic_Rating_RT]]-Top_500_Movies_Ranked_by_Combined_Critics_and_Audience_Scores[[#This Row],[Audience_Rating]]</f>
        <v>-1</v>
      </c>
      <c r="X153" s="5">
        <f>FLOOR(Top_500_Movies_Ranked_by_Combined_Critics_and_Audience_Scores[[#This Row],[Year]],10)</f>
        <v>1970</v>
      </c>
    </row>
    <row r="154" spans="1:24" x14ac:dyDescent="0.2">
      <c r="A154" s="3">
        <v>153</v>
      </c>
      <c r="B154" t="s">
        <v>1584</v>
      </c>
      <c r="C154" s="5">
        <v>2019</v>
      </c>
      <c r="D154" t="s">
        <v>65</v>
      </c>
      <c r="E154" t="s">
        <v>1585</v>
      </c>
      <c r="F154" t="s">
        <v>30</v>
      </c>
      <c r="G154" t="s">
        <v>4317</v>
      </c>
      <c r="H154" t="s">
        <v>4317</v>
      </c>
      <c r="I154" s="5">
        <v>85</v>
      </c>
      <c r="J154" s="4">
        <v>7.9</v>
      </c>
      <c r="K154" s="5">
        <v>79</v>
      </c>
      <c r="L154" s="5">
        <v>359338</v>
      </c>
      <c r="M154" s="5">
        <v>94</v>
      </c>
      <c r="N154" s="5">
        <v>90</v>
      </c>
      <c r="O154" s="5">
        <v>236</v>
      </c>
      <c r="P154" s="5">
        <v>83</v>
      </c>
      <c r="Q154" s="5">
        <v>391797</v>
      </c>
      <c r="R154" s="5">
        <v>80</v>
      </c>
      <c r="S154" s="5">
        <v>1162129</v>
      </c>
      <c r="T154" s="5">
        <v>84</v>
      </c>
      <c r="U154" t="s">
        <v>885</v>
      </c>
      <c r="V154" s="2">
        <v>85</v>
      </c>
      <c r="W154" s="5">
        <f>Top_500_Movies_Ranked_by_Combined_Critics_and_Audience_Scores[[#This Row],[Critic_Rating_RT]]-Top_500_Movies_Ranked_by_Combined_Critics_and_Audience_Scores[[#This Row],[Audience_Rating]]</f>
        <v>7</v>
      </c>
      <c r="X154" s="5">
        <f>FLOOR(Top_500_Movies_Ranked_by_Combined_Critics_and_Audience_Scores[[#This Row],[Year]],10)</f>
        <v>2010</v>
      </c>
    </row>
    <row r="155" spans="1:24" x14ac:dyDescent="0.2">
      <c r="A155" s="3">
        <v>154</v>
      </c>
      <c r="B155" t="s">
        <v>1592</v>
      </c>
      <c r="C155" s="5">
        <v>2004</v>
      </c>
      <c r="D155" t="s">
        <v>65</v>
      </c>
      <c r="E155" t="s">
        <v>1593</v>
      </c>
      <c r="F155" t="s">
        <v>30</v>
      </c>
      <c r="G155" t="s">
        <v>1596</v>
      </c>
      <c r="H155" t="s">
        <v>216</v>
      </c>
      <c r="I155" s="5">
        <v>84</v>
      </c>
      <c r="J155" s="4">
        <v>8.1</v>
      </c>
      <c r="K155" s="5">
        <v>81</v>
      </c>
      <c r="L155" s="5">
        <v>743174</v>
      </c>
      <c r="M155" s="5">
        <v>86</v>
      </c>
      <c r="N155" s="5">
        <v>85</v>
      </c>
      <c r="O155" s="5">
        <v>155</v>
      </c>
      <c r="P155" s="5">
        <v>87</v>
      </c>
      <c r="Q155" s="5">
        <v>382716</v>
      </c>
      <c r="R155" s="5">
        <v>80</v>
      </c>
      <c r="S155" s="5">
        <v>337065</v>
      </c>
      <c r="T155" s="5">
        <v>91</v>
      </c>
      <c r="U155" t="s">
        <v>42</v>
      </c>
      <c r="V155" s="2">
        <v>85</v>
      </c>
      <c r="W155" s="5">
        <f>Top_500_Movies_Ranked_by_Combined_Critics_and_Audience_Scores[[#This Row],[Critic_Rating_RT]]-Top_500_Movies_Ranked_by_Combined_Critics_and_Audience_Scores[[#This Row],[Audience_Rating]]</f>
        <v>-2</v>
      </c>
      <c r="X155" s="5">
        <f>FLOOR(Top_500_Movies_Ranked_by_Combined_Critics_and_Audience_Scores[[#This Row],[Year]],10)</f>
        <v>2000</v>
      </c>
    </row>
    <row r="156" spans="1:24" x14ac:dyDescent="0.2">
      <c r="A156" s="3">
        <v>155</v>
      </c>
      <c r="B156" t="s">
        <v>1601</v>
      </c>
      <c r="C156" s="5">
        <v>1941</v>
      </c>
      <c r="D156" t="s">
        <v>1602</v>
      </c>
      <c r="E156" t="s">
        <v>1603</v>
      </c>
      <c r="F156" t="s">
        <v>30</v>
      </c>
      <c r="G156" t="s">
        <v>1606</v>
      </c>
      <c r="H156" t="s">
        <v>178</v>
      </c>
      <c r="I156" s="5">
        <v>84</v>
      </c>
      <c r="J156" s="4">
        <v>7.9</v>
      </c>
      <c r="K156" s="5">
        <v>79</v>
      </c>
      <c r="L156" s="5">
        <v>170463</v>
      </c>
      <c r="M156" s="5">
        <v>97</v>
      </c>
      <c r="N156" s="5">
        <v>93</v>
      </c>
      <c r="O156" s="5">
        <v>77</v>
      </c>
      <c r="P156" s="5">
        <v>87</v>
      </c>
      <c r="Q156" s="5">
        <v>79699</v>
      </c>
      <c r="R156" s="5">
        <v>78</v>
      </c>
      <c r="S156" s="5">
        <v>122938</v>
      </c>
      <c r="T156" s="5">
        <v>76</v>
      </c>
      <c r="U156" t="s">
        <v>135</v>
      </c>
      <c r="V156" s="2">
        <v>85</v>
      </c>
      <c r="W156" s="5">
        <f>Top_500_Movies_Ranked_by_Combined_Critics_and_Audience_Scores[[#This Row],[Critic_Rating_RT]]-Top_500_Movies_Ranked_by_Combined_Critics_and_Audience_Scores[[#This Row],[Audience_Rating]]</f>
        <v>6</v>
      </c>
      <c r="X156" s="5">
        <f>FLOOR(Top_500_Movies_Ranked_by_Combined_Critics_and_Audience_Scores[[#This Row],[Year]],10)</f>
        <v>1940</v>
      </c>
    </row>
    <row r="157" spans="1:24" x14ac:dyDescent="0.2">
      <c r="A157" s="3">
        <v>156</v>
      </c>
      <c r="B157" t="s">
        <v>1611</v>
      </c>
      <c r="C157" s="5">
        <v>2016</v>
      </c>
      <c r="D157" t="s">
        <v>1161</v>
      </c>
      <c r="E157" t="s">
        <v>1612</v>
      </c>
      <c r="F157" t="s">
        <v>30</v>
      </c>
      <c r="G157" t="s">
        <v>4317</v>
      </c>
      <c r="H157" t="s">
        <v>4317</v>
      </c>
      <c r="I157" s="5">
        <v>85</v>
      </c>
      <c r="J157" s="4">
        <v>8.1999999999999993</v>
      </c>
      <c r="K157" s="5">
        <v>82</v>
      </c>
      <c r="L157" s="5">
        <v>38435</v>
      </c>
      <c r="M157" s="5">
        <v>81</v>
      </c>
      <c r="N157" s="5">
        <v>86</v>
      </c>
      <c r="O157" s="5">
        <v>63</v>
      </c>
      <c r="P157" s="5">
        <v>88</v>
      </c>
      <c r="Q157" s="5">
        <v>38816</v>
      </c>
      <c r="R157" s="5">
        <v>86</v>
      </c>
      <c r="S157" s="5">
        <v>109670</v>
      </c>
      <c r="T157" s="5">
        <v>87</v>
      </c>
      <c r="U157" t="s">
        <v>885</v>
      </c>
      <c r="V157" s="2">
        <v>85</v>
      </c>
      <c r="W157" s="5">
        <f>Top_500_Movies_Ranked_by_Combined_Critics_and_Audience_Scores[[#This Row],[Critic_Rating_RT]]-Top_500_Movies_Ranked_by_Combined_Critics_and_Audience_Scores[[#This Row],[Audience_Rating]]</f>
        <v>-2</v>
      </c>
      <c r="X157" s="5">
        <f>FLOOR(Top_500_Movies_Ranked_by_Combined_Critics_and_Audience_Scores[[#This Row],[Year]],10)</f>
        <v>2010</v>
      </c>
    </row>
    <row r="158" spans="1:24" x14ac:dyDescent="0.2">
      <c r="A158" s="3">
        <v>157</v>
      </c>
      <c r="B158" t="s">
        <v>1619</v>
      </c>
      <c r="C158" s="5">
        <v>2010</v>
      </c>
      <c r="D158" t="s">
        <v>519</v>
      </c>
      <c r="E158" t="s">
        <v>1620</v>
      </c>
      <c r="F158" t="s">
        <v>30</v>
      </c>
      <c r="G158" t="s">
        <v>1623</v>
      </c>
      <c r="H158" t="s">
        <v>1624</v>
      </c>
      <c r="I158" s="5">
        <v>84</v>
      </c>
      <c r="J158" s="4">
        <v>8</v>
      </c>
      <c r="K158" s="5">
        <v>80</v>
      </c>
      <c r="L158" s="5">
        <v>719923</v>
      </c>
      <c r="M158" s="5">
        <v>88</v>
      </c>
      <c r="N158" s="5">
        <v>87</v>
      </c>
      <c r="O158" s="5">
        <v>218</v>
      </c>
      <c r="P158" s="5">
        <v>88</v>
      </c>
      <c r="Q158" s="5">
        <v>226990</v>
      </c>
      <c r="R158" s="5">
        <v>76</v>
      </c>
      <c r="S158" s="5">
        <v>391088</v>
      </c>
      <c r="T158" s="5">
        <v>91</v>
      </c>
      <c r="U158" t="s">
        <v>617</v>
      </c>
      <c r="V158" s="2">
        <v>85</v>
      </c>
      <c r="W158" s="5">
        <f>Top_500_Movies_Ranked_by_Combined_Critics_and_Audience_Scores[[#This Row],[Critic_Rating_RT]]-Top_500_Movies_Ranked_by_Combined_Critics_and_Audience_Scores[[#This Row],[Audience_Rating]]</f>
        <v>-1</v>
      </c>
      <c r="X158" s="5">
        <f>FLOOR(Top_500_Movies_Ranked_by_Combined_Critics_and_Audience_Scores[[#This Row],[Year]],10)</f>
        <v>2010</v>
      </c>
    </row>
    <row r="159" spans="1:24" x14ac:dyDescent="0.2">
      <c r="A159" s="3">
        <v>158</v>
      </c>
      <c r="B159" t="s">
        <v>1629</v>
      </c>
      <c r="C159" s="5">
        <v>2004</v>
      </c>
      <c r="D159" t="s">
        <v>80</v>
      </c>
      <c r="E159" t="s">
        <v>1630</v>
      </c>
      <c r="F159" t="s">
        <v>374</v>
      </c>
      <c r="G159" t="s">
        <v>4317</v>
      </c>
      <c r="H159" t="s">
        <v>4317</v>
      </c>
      <c r="I159" s="5">
        <v>84</v>
      </c>
      <c r="J159" s="4">
        <v>8.1999999999999993</v>
      </c>
      <c r="K159" s="5">
        <v>82</v>
      </c>
      <c r="L159" s="5">
        <v>386690</v>
      </c>
      <c r="M159" s="5">
        <v>82</v>
      </c>
      <c r="N159" s="5">
        <v>81</v>
      </c>
      <c r="O159" s="5">
        <v>76</v>
      </c>
      <c r="P159" s="5">
        <v>90</v>
      </c>
      <c r="Q159" s="5">
        <v>87605</v>
      </c>
      <c r="R159" s="5">
        <v>82</v>
      </c>
      <c r="S159" s="5">
        <v>121453</v>
      </c>
      <c r="T159" s="5">
        <v>93</v>
      </c>
      <c r="U159" t="s">
        <v>253</v>
      </c>
      <c r="V159" s="2">
        <v>85</v>
      </c>
      <c r="W159" s="5">
        <f>Top_500_Movies_Ranked_by_Combined_Critics_and_Audience_Scores[[#This Row],[Critic_Rating_RT]]-Top_500_Movies_Ranked_by_Combined_Critics_and_Audience_Scores[[#This Row],[Audience_Rating]]</f>
        <v>-9</v>
      </c>
      <c r="X159" s="5">
        <f>FLOOR(Top_500_Movies_Ranked_by_Combined_Critics_and_Audience_Scores[[#This Row],[Year]],10)</f>
        <v>2000</v>
      </c>
    </row>
    <row r="160" spans="1:24" x14ac:dyDescent="0.2">
      <c r="A160" s="3">
        <v>159</v>
      </c>
      <c r="B160" t="s">
        <v>1637</v>
      </c>
      <c r="C160" s="5">
        <v>2007</v>
      </c>
      <c r="D160" t="s">
        <v>519</v>
      </c>
      <c r="E160" t="s">
        <v>1638</v>
      </c>
      <c r="F160" t="s">
        <v>321</v>
      </c>
      <c r="G160" t="s">
        <v>1641</v>
      </c>
      <c r="H160" t="s">
        <v>118</v>
      </c>
      <c r="I160" s="5">
        <v>84</v>
      </c>
      <c r="J160" s="4">
        <v>8</v>
      </c>
      <c r="K160" s="5">
        <v>80</v>
      </c>
      <c r="L160" s="5">
        <v>111563</v>
      </c>
      <c r="M160" s="5">
        <v>92</v>
      </c>
      <c r="N160" s="5">
        <v>85</v>
      </c>
      <c r="O160" s="5">
        <v>109</v>
      </c>
      <c r="P160" s="5">
        <v>88</v>
      </c>
      <c r="Q160" s="5">
        <v>115668</v>
      </c>
      <c r="R160" s="5">
        <v>82</v>
      </c>
      <c r="S160" s="5">
        <v>46838</v>
      </c>
      <c r="T160" s="5">
        <v>83</v>
      </c>
      <c r="U160" t="s">
        <v>617</v>
      </c>
      <c r="V160" s="2">
        <v>85</v>
      </c>
      <c r="W160" s="5">
        <f>Top_500_Movies_Ranked_by_Combined_Critics_and_Audience_Scores[[#This Row],[Critic_Rating_RT]]-Top_500_Movies_Ranked_by_Combined_Critics_and_Audience_Scores[[#This Row],[Audience_Rating]]</f>
        <v>-3</v>
      </c>
      <c r="X160" s="5">
        <f>FLOOR(Top_500_Movies_Ranked_by_Combined_Critics_and_Audience_Scores[[#This Row],[Year]],10)</f>
        <v>2000</v>
      </c>
    </row>
    <row r="161" spans="1:24" x14ac:dyDescent="0.2">
      <c r="A161" s="3">
        <v>160</v>
      </c>
      <c r="B161" t="s">
        <v>1646</v>
      </c>
      <c r="C161" s="5">
        <v>2017</v>
      </c>
      <c r="D161" t="s">
        <v>1647</v>
      </c>
      <c r="E161" t="s">
        <v>983</v>
      </c>
      <c r="F161" t="s">
        <v>30</v>
      </c>
      <c r="G161" t="s">
        <v>4317</v>
      </c>
      <c r="H161" t="s">
        <v>4317</v>
      </c>
      <c r="I161" s="5">
        <v>84</v>
      </c>
      <c r="J161" s="4">
        <v>8.4</v>
      </c>
      <c r="K161" s="5">
        <v>84</v>
      </c>
      <c r="L161" s="5">
        <v>643266</v>
      </c>
      <c r="M161" s="5">
        <v>81</v>
      </c>
      <c r="N161" s="5">
        <v>83</v>
      </c>
      <c r="O161" s="5">
        <v>213</v>
      </c>
      <c r="P161" s="5">
        <v>91</v>
      </c>
      <c r="Q161" s="5">
        <v>693918</v>
      </c>
      <c r="R161" s="5">
        <v>82</v>
      </c>
      <c r="S161" s="5">
        <v>2021496</v>
      </c>
      <c r="T161" s="5">
        <v>89</v>
      </c>
      <c r="U161" t="s">
        <v>444</v>
      </c>
      <c r="V161" s="2">
        <v>85</v>
      </c>
      <c r="W161" s="5">
        <f>Top_500_Movies_Ranked_by_Combined_Critics_and_Audience_Scores[[#This Row],[Critic_Rating_RT]]-Top_500_Movies_Ranked_by_Combined_Critics_and_Audience_Scores[[#This Row],[Audience_Rating]]</f>
        <v>-8</v>
      </c>
      <c r="X161" s="5">
        <f>FLOOR(Top_500_Movies_Ranked_by_Combined_Critics_and_Audience_Scores[[#This Row],[Year]],10)</f>
        <v>2010</v>
      </c>
    </row>
    <row r="162" spans="1:24" x14ac:dyDescent="0.2">
      <c r="A162" s="3">
        <v>161</v>
      </c>
      <c r="B162" t="s">
        <v>1654</v>
      </c>
      <c r="C162" s="5">
        <v>2012</v>
      </c>
      <c r="D162" t="s">
        <v>211</v>
      </c>
      <c r="E162" t="s">
        <v>1655</v>
      </c>
      <c r="F162" t="s">
        <v>321</v>
      </c>
      <c r="G162" t="s">
        <v>4317</v>
      </c>
      <c r="H162" t="s">
        <v>4317</v>
      </c>
      <c r="I162" s="5">
        <v>85</v>
      </c>
      <c r="J162" s="4">
        <v>7.9</v>
      </c>
      <c r="K162" s="5">
        <v>79</v>
      </c>
      <c r="L162" s="5">
        <v>108046</v>
      </c>
      <c r="M162" s="5">
        <v>95</v>
      </c>
      <c r="N162" s="5">
        <v>89</v>
      </c>
      <c r="O162" s="5">
        <v>180</v>
      </c>
      <c r="P162" s="5">
        <v>81</v>
      </c>
      <c r="Q162" s="5">
        <v>53864</v>
      </c>
      <c r="R162" s="5">
        <v>84</v>
      </c>
      <c r="S162" s="5">
        <v>119569</v>
      </c>
      <c r="T162" s="5">
        <v>81</v>
      </c>
      <c r="U162" t="s">
        <v>75</v>
      </c>
      <c r="V162" s="2">
        <v>84.83</v>
      </c>
      <c r="W162" s="5">
        <f>Top_500_Movies_Ranked_by_Combined_Critics_and_Audience_Scores[[#This Row],[Critic_Rating_RT]]-Top_500_Movies_Ranked_by_Combined_Critics_and_Audience_Scores[[#This Row],[Audience_Rating]]</f>
        <v>8</v>
      </c>
      <c r="X162" s="5">
        <f>FLOOR(Top_500_Movies_Ranked_by_Combined_Critics_and_Audience_Scores[[#This Row],[Year]],10)</f>
        <v>2010</v>
      </c>
    </row>
    <row r="163" spans="1:24" x14ac:dyDescent="0.2">
      <c r="A163" s="3">
        <v>162</v>
      </c>
      <c r="B163" t="s">
        <v>1663</v>
      </c>
      <c r="C163" s="5">
        <v>1999</v>
      </c>
      <c r="D163" t="s">
        <v>65</v>
      </c>
      <c r="E163" t="s">
        <v>1664</v>
      </c>
      <c r="F163" t="s">
        <v>30</v>
      </c>
      <c r="G163" t="s">
        <v>1667</v>
      </c>
      <c r="H163" t="s">
        <v>1668</v>
      </c>
      <c r="I163" s="5">
        <v>84</v>
      </c>
      <c r="J163" s="4">
        <v>8</v>
      </c>
      <c r="K163" s="5">
        <v>80</v>
      </c>
      <c r="L163" s="5">
        <v>103337</v>
      </c>
      <c r="M163" s="5">
        <v>86</v>
      </c>
      <c r="N163" s="5">
        <v>83</v>
      </c>
      <c r="O163" s="5">
        <v>74</v>
      </c>
      <c r="P163" s="5">
        <v>87</v>
      </c>
      <c r="Q163" s="5">
        <v>59890</v>
      </c>
      <c r="R163" s="5">
        <v>84</v>
      </c>
      <c r="S163" s="5">
        <v>116409</v>
      </c>
      <c r="T163" s="5">
        <v>89</v>
      </c>
      <c r="U163" t="s">
        <v>444</v>
      </c>
      <c r="V163" s="2">
        <v>84.83</v>
      </c>
      <c r="W163" s="5">
        <f>Top_500_Movies_Ranked_by_Combined_Critics_and_Audience_Scores[[#This Row],[Critic_Rating_RT]]-Top_500_Movies_Ranked_by_Combined_Critics_and_Audience_Scores[[#This Row],[Audience_Rating]]</f>
        <v>-4</v>
      </c>
      <c r="X163" s="5">
        <f>FLOOR(Top_500_Movies_Ranked_by_Combined_Critics_and_Audience_Scores[[#This Row],[Year]],10)</f>
        <v>1990</v>
      </c>
    </row>
    <row r="164" spans="1:24" x14ac:dyDescent="0.2">
      <c r="A164" s="3">
        <v>163</v>
      </c>
      <c r="B164" t="s">
        <v>1673</v>
      </c>
      <c r="C164" s="5">
        <v>1971</v>
      </c>
      <c r="D164" t="s">
        <v>1674</v>
      </c>
      <c r="E164" t="s">
        <v>1675</v>
      </c>
      <c r="F164" t="s">
        <v>30</v>
      </c>
      <c r="G164" t="s">
        <v>1678</v>
      </c>
      <c r="H164" t="s">
        <v>312</v>
      </c>
      <c r="I164" s="5">
        <v>85</v>
      </c>
      <c r="J164" s="4">
        <v>7.7</v>
      </c>
      <c r="K164" s="5">
        <v>77</v>
      </c>
      <c r="L164" s="5">
        <v>143317</v>
      </c>
      <c r="M164" s="5">
        <v>94</v>
      </c>
      <c r="N164" s="5">
        <v>90</v>
      </c>
      <c r="O164" s="5">
        <v>64</v>
      </c>
      <c r="P164" s="5">
        <v>84</v>
      </c>
      <c r="Q164" s="5">
        <v>81276</v>
      </c>
      <c r="R164" s="5">
        <v>80</v>
      </c>
      <c r="S164" s="5">
        <v>154622</v>
      </c>
      <c r="T164" s="5">
        <v>84</v>
      </c>
      <c r="U164" t="s">
        <v>75</v>
      </c>
      <c r="V164" s="2">
        <v>84.83</v>
      </c>
      <c r="W164" s="5">
        <f>Top_500_Movies_Ranked_by_Combined_Critics_and_Audience_Scores[[#This Row],[Critic_Rating_RT]]-Top_500_Movies_Ranked_by_Combined_Critics_and_Audience_Scores[[#This Row],[Audience_Rating]]</f>
        <v>6</v>
      </c>
      <c r="X164" s="5">
        <f>FLOOR(Top_500_Movies_Ranked_by_Combined_Critics_and_Audience_Scores[[#This Row],[Year]],10)</f>
        <v>1970</v>
      </c>
    </row>
    <row r="165" spans="1:24" x14ac:dyDescent="0.2">
      <c r="A165" s="3">
        <v>164</v>
      </c>
      <c r="B165" t="s">
        <v>1683</v>
      </c>
      <c r="C165" s="5">
        <v>1974</v>
      </c>
      <c r="D165" t="s">
        <v>1684</v>
      </c>
      <c r="E165" t="s">
        <v>1685</v>
      </c>
      <c r="F165" t="s">
        <v>30</v>
      </c>
      <c r="G165" t="s">
        <v>1688</v>
      </c>
      <c r="H165" t="s">
        <v>312</v>
      </c>
      <c r="I165" s="5">
        <v>84</v>
      </c>
      <c r="J165" s="4">
        <v>8</v>
      </c>
      <c r="K165" s="5">
        <v>80</v>
      </c>
      <c r="L165" s="5">
        <v>174783</v>
      </c>
      <c r="M165" s="5">
        <v>83</v>
      </c>
      <c r="N165" s="5">
        <v>85</v>
      </c>
      <c r="O165" s="5">
        <v>55</v>
      </c>
      <c r="P165" s="5">
        <v>88</v>
      </c>
      <c r="Q165" s="5">
        <v>198530</v>
      </c>
      <c r="R165" s="5">
        <v>80</v>
      </c>
      <c r="S165" s="5">
        <v>176284</v>
      </c>
      <c r="T165" s="5">
        <v>93</v>
      </c>
      <c r="U165" t="s">
        <v>978</v>
      </c>
      <c r="V165" s="2">
        <v>84.83</v>
      </c>
      <c r="W165" s="5">
        <f>Top_500_Movies_Ranked_by_Combined_Critics_and_Audience_Scores[[#This Row],[Critic_Rating_RT]]-Top_500_Movies_Ranked_by_Combined_Critics_and_Audience_Scores[[#This Row],[Audience_Rating]]</f>
        <v>-3</v>
      </c>
      <c r="X165" s="5">
        <f>FLOOR(Top_500_Movies_Ranked_by_Combined_Critics_and_Audience_Scores[[#This Row],[Year]],10)</f>
        <v>1970</v>
      </c>
    </row>
    <row r="166" spans="1:24" x14ac:dyDescent="0.2">
      <c r="A166" s="3">
        <v>165</v>
      </c>
      <c r="B166" t="s">
        <v>1693</v>
      </c>
      <c r="C166" s="5">
        <v>1964</v>
      </c>
      <c r="D166" t="s">
        <v>1694</v>
      </c>
      <c r="E166" t="s">
        <v>1695</v>
      </c>
      <c r="F166" t="s">
        <v>30</v>
      </c>
      <c r="G166" t="s">
        <v>1698</v>
      </c>
      <c r="H166" t="s">
        <v>1699</v>
      </c>
      <c r="I166" s="5">
        <v>84</v>
      </c>
      <c r="J166" s="4">
        <v>7.5</v>
      </c>
      <c r="K166" s="5">
        <v>75</v>
      </c>
      <c r="L166" s="5">
        <v>49501</v>
      </c>
      <c r="M166" s="5">
        <v>96</v>
      </c>
      <c r="N166" s="5">
        <v>88</v>
      </c>
      <c r="O166" s="5">
        <v>65</v>
      </c>
      <c r="P166" s="5">
        <v>85</v>
      </c>
      <c r="Q166" s="5">
        <v>62888</v>
      </c>
      <c r="R166" s="5">
        <v>76</v>
      </c>
      <c r="S166" s="5">
        <v>87602</v>
      </c>
      <c r="T166" s="5">
        <v>89</v>
      </c>
      <c r="U166" t="s">
        <v>135</v>
      </c>
      <c r="V166" s="2">
        <v>84.83</v>
      </c>
      <c r="W166" s="5">
        <f>Top_500_Movies_Ranked_by_Combined_Critics_and_Audience_Scores[[#This Row],[Critic_Rating_RT]]-Top_500_Movies_Ranked_by_Combined_Critics_and_Audience_Scores[[#This Row],[Audience_Rating]]</f>
        <v>3</v>
      </c>
      <c r="X166" s="5">
        <f>FLOOR(Top_500_Movies_Ranked_by_Combined_Critics_and_Audience_Scores[[#This Row],[Year]],10)</f>
        <v>1960</v>
      </c>
    </row>
    <row r="167" spans="1:24" x14ac:dyDescent="0.2">
      <c r="A167" s="3">
        <v>166</v>
      </c>
      <c r="B167" t="s">
        <v>1704</v>
      </c>
      <c r="C167" s="5">
        <v>2019</v>
      </c>
      <c r="D167" t="s">
        <v>1705</v>
      </c>
      <c r="E167" t="s">
        <v>174</v>
      </c>
      <c r="F167" t="s">
        <v>30</v>
      </c>
      <c r="G167" t="s">
        <v>4317</v>
      </c>
      <c r="H167" t="s">
        <v>4317</v>
      </c>
      <c r="I167" s="5">
        <v>85</v>
      </c>
      <c r="J167" s="4">
        <v>7.8</v>
      </c>
      <c r="K167" s="5">
        <v>78</v>
      </c>
      <c r="L167" s="5">
        <v>450758</v>
      </c>
      <c r="M167" s="5">
        <v>94</v>
      </c>
      <c r="N167" s="5">
        <v>90</v>
      </c>
      <c r="O167" s="5">
        <v>280</v>
      </c>
      <c r="P167" s="5">
        <v>83</v>
      </c>
      <c r="Q167" s="5">
        <v>255684</v>
      </c>
      <c r="R167" s="5">
        <v>78</v>
      </c>
      <c r="S167" s="5">
        <v>745713</v>
      </c>
      <c r="T167" s="5">
        <v>86</v>
      </c>
      <c r="U167" t="s">
        <v>885</v>
      </c>
      <c r="V167" s="2">
        <v>84.83</v>
      </c>
      <c r="W167" s="5">
        <f>Top_500_Movies_Ranked_by_Combined_Critics_and_Audience_Scores[[#This Row],[Critic_Rating_RT]]-Top_500_Movies_Ranked_by_Combined_Critics_and_Audience_Scores[[#This Row],[Audience_Rating]]</f>
        <v>7</v>
      </c>
      <c r="X167" s="5">
        <f>FLOOR(Top_500_Movies_Ranked_by_Combined_Critics_and_Audience_Scores[[#This Row],[Year]],10)</f>
        <v>2010</v>
      </c>
    </row>
    <row r="168" spans="1:24" x14ac:dyDescent="0.2">
      <c r="A168" s="3">
        <v>167</v>
      </c>
      <c r="B168" t="s">
        <v>1712</v>
      </c>
      <c r="C168" s="5">
        <v>2018</v>
      </c>
      <c r="D168" t="s">
        <v>1713</v>
      </c>
      <c r="E168" t="s">
        <v>1714</v>
      </c>
      <c r="F168" t="s">
        <v>30</v>
      </c>
      <c r="G168" t="s">
        <v>4317</v>
      </c>
      <c r="H168" t="s">
        <v>4317</v>
      </c>
      <c r="I168" s="5">
        <v>84</v>
      </c>
      <c r="J168" s="4">
        <v>8.1</v>
      </c>
      <c r="K168" s="5">
        <v>81</v>
      </c>
      <c r="L168" s="5">
        <v>81251</v>
      </c>
      <c r="M168" s="5">
        <v>83</v>
      </c>
      <c r="N168" s="5">
        <v>82</v>
      </c>
      <c r="O168" s="5">
        <v>92</v>
      </c>
      <c r="P168" s="5">
        <v>89</v>
      </c>
      <c r="Q168" s="5">
        <v>61687</v>
      </c>
      <c r="R168" s="5">
        <v>82</v>
      </c>
      <c r="S168" s="5">
        <v>178659</v>
      </c>
      <c r="T168" s="5">
        <v>92</v>
      </c>
      <c r="U168" t="s">
        <v>1719</v>
      </c>
      <c r="V168" s="2">
        <v>84.83</v>
      </c>
      <c r="W168" s="5">
        <f>Top_500_Movies_Ranked_by_Combined_Critics_and_Audience_Scores[[#This Row],[Critic_Rating_RT]]-Top_500_Movies_Ranked_by_Combined_Critics_and_Audience_Scores[[#This Row],[Audience_Rating]]</f>
        <v>-7</v>
      </c>
      <c r="X168" s="5">
        <f>FLOOR(Top_500_Movies_Ranked_by_Combined_Critics_and_Audience_Scores[[#This Row],[Year]],10)</f>
        <v>2010</v>
      </c>
    </row>
    <row r="169" spans="1:24" x14ac:dyDescent="0.2">
      <c r="A169" s="3">
        <v>168</v>
      </c>
      <c r="B169" t="s">
        <v>1722</v>
      </c>
      <c r="C169" s="5">
        <v>2016</v>
      </c>
      <c r="D169" t="s">
        <v>1723</v>
      </c>
      <c r="E169" t="s">
        <v>449</v>
      </c>
      <c r="F169" t="s">
        <v>30</v>
      </c>
      <c r="G169" t="s">
        <v>4317</v>
      </c>
      <c r="H169" t="s">
        <v>4317</v>
      </c>
      <c r="I169" s="5">
        <v>85</v>
      </c>
      <c r="J169" s="4">
        <v>8</v>
      </c>
      <c r="K169" s="5">
        <v>80</v>
      </c>
      <c r="L169" s="5">
        <v>713968</v>
      </c>
      <c r="M169" s="5">
        <v>94</v>
      </c>
      <c r="N169" s="5">
        <v>89</v>
      </c>
      <c r="O169" s="5">
        <v>333</v>
      </c>
      <c r="P169" s="5">
        <v>80</v>
      </c>
      <c r="Q169" s="5">
        <v>1113199</v>
      </c>
      <c r="R169" s="5">
        <v>82</v>
      </c>
      <c r="S169" s="5">
        <v>3192797</v>
      </c>
      <c r="T169" s="5">
        <v>84</v>
      </c>
      <c r="U169" t="s">
        <v>75</v>
      </c>
      <c r="V169" s="2">
        <v>84.83</v>
      </c>
      <c r="W169" s="5">
        <f>Top_500_Movies_Ranked_by_Combined_Critics_and_Audience_Scores[[#This Row],[Critic_Rating_RT]]-Top_500_Movies_Ranked_by_Combined_Critics_and_Audience_Scores[[#This Row],[Audience_Rating]]</f>
        <v>9</v>
      </c>
      <c r="X169" s="5">
        <f>FLOOR(Top_500_Movies_Ranked_by_Combined_Critics_and_Audience_Scores[[#This Row],[Year]],10)</f>
        <v>2010</v>
      </c>
    </row>
    <row r="170" spans="1:24" x14ac:dyDescent="0.2">
      <c r="A170" s="3">
        <v>169</v>
      </c>
      <c r="B170" t="s">
        <v>1730</v>
      </c>
      <c r="C170" s="5">
        <v>1968</v>
      </c>
      <c r="D170" t="s">
        <v>1731</v>
      </c>
      <c r="E170" t="s">
        <v>1732</v>
      </c>
      <c r="F170" t="s">
        <v>30</v>
      </c>
      <c r="G170" t="s">
        <v>191</v>
      </c>
      <c r="H170" t="s">
        <v>1735</v>
      </c>
      <c r="I170" s="5">
        <v>85</v>
      </c>
      <c r="J170" s="4">
        <v>7.8</v>
      </c>
      <c r="K170" s="5">
        <v>78</v>
      </c>
      <c r="L170" s="5">
        <v>144684</v>
      </c>
      <c r="M170" s="5">
        <v>89</v>
      </c>
      <c r="N170" s="5">
        <v>89</v>
      </c>
      <c r="O170" s="5">
        <v>85</v>
      </c>
      <c r="P170" s="5">
        <v>84</v>
      </c>
      <c r="Q170" s="5">
        <v>172279</v>
      </c>
      <c r="R170" s="5">
        <v>80</v>
      </c>
      <c r="S170" s="5">
        <v>254945</v>
      </c>
      <c r="T170" s="5">
        <v>89</v>
      </c>
      <c r="U170" t="s">
        <v>1738</v>
      </c>
      <c r="V170" s="2">
        <v>84.83</v>
      </c>
      <c r="W170" s="5">
        <f>Top_500_Movies_Ranked_by_Combined_Critics_and_Audience_Scores[[#This Row],[Critic_Rating_RT]]-Top_500_Movies_Ranked_by_Combined_Critics_and_Audience_Scores[[#This Row],[Audience_Rating]]</f>
        <v>5</v>
      </c>
      <c r="X170" s="5">
        <f>FLOOR(Top_500_Movies_Ranked_by_Combined_Critics_and_Audience_Scores[[#This Row],[Year]],10)</f>
        <v>1960</v>
      </c>
    </row>
    <row r="171" spans="1:24" x14ac:dyDescent="0.2">
      <c r="A171" s="3">
        <v>170</v>
      </c>
      <c r="B171" t="s">
        <v>1741</v>
      </c>
      <c r="C171" s="5">
        <v>1992</v>
      </c>
      <c r="D171" t="s">
        <v>186</v>
      </c>
      <c r="E171" t="s">
        <v>1593</v>
      </c>
      <c r="F171" t="s">
        <v>30</v>
      </c>
      <c r="G171" t="s">
        <v>1744</v>
      </c>
      <c r="H171" t="s">
        <v>216</v>
      </c>
      <c r="I171" s="5">
        <v>84</v>
      </c>
      <c r="J171" s="4">
        <v>8.1999999999999993</v>
      </c>
      <c r="K171" s="5">
        <v>82</v>
      </c>
      <c r="L171" s="5">
        <v>451817</v>
      </c>
      <c r="M171" s="5">
        <v>85</v>
      </c>
      <c r="N171" s="5">
        <v>88</v>
      </c>
      <c r="O171" s="5">
        <v>70</v>
      </c>
      <c r="P171" s="5">
        <v>89</v>
      </c>
      <c r="Q171" s="5">
        <v>159321</v>
      </c>
      <c r="R171" s="5">
        <v>84</v>
      </c>
      <c r="S171" s="5">
        <v>231329</v>
      </c>
      <c r="T171" s="5">
        <v>81</v>
      </c>
      <c r="U171" t="s">
        <v>1747</v>
      </c>
      <c r="V171" s="2">
        <v>84.83</v>
      </c>
      <c r="W171" s="5">
        <f>Top_500_Movies_Ranked_by_Combined_Critics_and_Audience_Scores[[#This Row],[Critic_Rating_RT]]-Top_500_Movies_Ranked_by_Combined_Critics_and_Audience_Scores[[#This Row],[Audience_Rating]]</f>
        <v>-1</v>
      </c>
      <c r="X171" s="5">
        <f>FLOOR(Top_500_Movies_Ranked_by_Combined_Critics_and_Audience_Scores[[#This Row],[Year]],10)</f>
        <v>1990</v>
      </c>
    </row>
    <row r="172" spans="1:24" x14ac:dyDescent="0.2">
      <c r="A172" s="3">
        <v>171</v>
      </c>
      <c r="B172" t="s">
        <v>1750</v>
      </c>
      <c r="C172" s="5">
        <v>1984</v>
      </c>
      <c r="D172" t="s">
        <v>1031</v>
      </c>
      <c r="E172" t="s">
        <v>1032</v>
      </c>
      <c r="F172" t="s">
        <v>30</v>
      </c>
      <c r="G172" t="s">
        <v>1753</v>
      </c>
      <c r="H172" t="s">
        <v>576</v>
      </c>
      <c r="I172" s="5">
        <v>85</v>
      </c>
      <c r="J172" s="4">
        <v>8.1</v>
      </c>
      <c r="K172" s="5">
        <v>81</v>
      </c>
      <c r="L172" s="5">
        <v>958738</v>
      </c>
      <c r="M172" s="5">
        <v>84</v>
      </c>
      <c r="N172" s="5">
        <v>87</v>
      </c>
      <c r="O172" s="5">
        <v>76</v>
      </c>
      <c r="P172" s="5">
        <v>86</v>
      </c>
      <c r="Q172" s="5">
        <v>747733</v>
      </c>
      <c r="R172" s="5">
        <v>78</v>
      </c>
      <c r="S172" s="5">
        <v>686692</v>
      </c>
      <c r="T172" s="5">
        <v>92</v>
      </c>
      <c r="U172" t="s">
        <v>253</v>
      </c>
      <c r="V172" s="2">
        <v>84.67</v>
      </c>
      <c r="W172" s="5">
        <f>Top_500_Movies_Ranked_by_Combined_Critics_and_Audience_Scores[[#This Row],[Critic_Rating_RT]]-Top_500_Movies_Ranked_by_Combined_Critics_and_Audience_Scores[[#This Row],[Audience_Rating]]</f>
        <v>1</v>
      </c>
      <c r="X172" s="5">
        <f>FLOOR(Top_500_Movies_Ranked_by_Combined_Critics_and_Audience_Scores[[#This Row],[Year]],10)</f>
        <v>1980</v>
      </c>
    </row>
    <row r="173" spans="1:24" x14ac:dyDescent="0.2">
      <c r="A173" s="3">
        <v>172</v>
      </c>
      <c r="B173" t="s">
        <v>1759</v>
      </c>
      <c r="C173" s="5">
        <v>1974</v>
      </c>
      <c r="D173" t="s">
        <v>288</v>
      </c>
      <c r="E173" t="s">
        <v>28</v>
      </c>
      <c r="F173" t="s">
        <v>30</v>
      </c>
      <c r="G173" t="s">
        <v>1762</v>
      </c>
      <c r="H173" t="s">
        <v>33</v>
      </c>
      <c r="I173" s="5">
        <v>85</v>
      </c>
      <c r="J173" s="4">
        <v>7.7</v>
      </c>
      <c r="K173" s="5">
        <v>77</v>
      </c>
      <c r="L173" s="5">
        <v>129280</v>
      </c>
      <c r="M173" s="5">
        <v>88</v>
      </c>
      <c r="N173" s="5">
        <v>90</v>
      </c>
      <c r="O173" s="5">
        <v>91</v>
      </c>
      <c r="P173" s="5">
        <v>86</v>
      </c>
      <c r="Q173" s="5">
        <v>88450</v>
      </c>
      <c r="R173" s="5">
        <v>84</v>
      </c>
      <c r="S173" s="5">
        <v>194526</v>
      </c>
      <c r="T173" s="5">
        <v>83</v>
      </c>
      <c r="U173" t="s">
        <v>253</v>
      </c>
      <c r="V173" s="2">
        <v>84.67</v>
      </c>
      <c r="W173" s="5">
        <f>Top_500_Movies_Ranked_by_Combined_Critics_and_Audience_Scores[[#This Row],[Critic_Rating_RT]]-Top_500_Movies_Ranked_by_Combined_Critics_and_Audience_Scores[[#This Row],[Audience_Rating]]</f>
        <v>4</v>
      </c>
      <c r="X173" s="5">
        <f>FLOOR(Top_500_Movies_Ranked_by_Combined_Critics_and_Audience_Scores[[#This Row],[Year]],10)</f>
        <v>1970</v>
      </c>
    </row>
    <row r="174" spans="1:24" x14ac:dyDescent="0.2">
      <c r="A174" s="3">
        <v>173</v>
      </c>
      <c r="B174" t="s">
        <v>1767</v>
      </c>
      <c r="C174" s="5">
        <v>2010</v>
      </c>
      <c r="D174" t="s">
        <v>65</v>
      </c>
      <c r="E174" t="s">
        <v>1768</v>
      </c>
      <c r="F174" t="s">
        <v>30</v>
      </c>
      <c r="G174" t="s">
        <v>1771</v>
      </c>
      <c r="H174" t="s">
        <v>53</v>
      </c>
      <c r="I174" s="5">
        <v>85</v>
      </c>
      <c r="J174" s="4">
        <v>7.8</v>
      </c>
      <c r="K174" s="5">
        <v>78</v>
      </c>
      <c r="L174" s="5">
        <v>786518</v>
      </c>
      <c r="M174" s="5">
        <v>95</v>
      </c>
      <c r="N174" s="5">
        <v>91</v>
      </c>
      <c r="O174" s="5">
        <v>222</v>
      </c>
      <c r="P174" s="5">
        <v>83</v>
      </c>
      <c r="Q174" s="5">
        <v>796286</v>
      </c>
      <c r="R174" s="5">
        <v>78</v>
      </c>
      <c r="S174" s="5">
        <v>1978430</v>
      </c>
      <c r="T174" s="5">
        <v>83</v>
      </c>
      <c r="U174" t="s">
        <v>1774</v>
      </c>
      <c r="V174" s="2">
        <v>84.67</v>
      </c>
      <c r="W174" s="5">
        <f>Top_500_Movies_Ranked_by_Combined_Critics_and_Audience_Scores[[#This Row],[Critic_Rating_RT]]-Top_500_Movies_Ranked_by_Combined_Critics_and_Audience_Scores[[#This Row],[Audience_Rating]]</f>
        <v>8</v>
      </c>
      <c r="X174" s="5">
        <f>FLOOR(Top_500_Movies_Ranked_by_Combined_Critics_and_Audience_Scores[[#This Row],[Year]],10)</f>
        <v>2010</v>
      </c>
    </row>
    <row r="175" spans="1:24" x14ac:dyDescent="0.2">
      <c r="A175" s="3">
        <v>174</v>
      </c>
      <c r="B175" t="s">
        <v>1777</v>
      </c>
      <c r="C175" s="5">
        <v>2019</v>
      </c>
      <c r="D175" t="s">
        <v>318</v>
      </c>
      <c r="E175" t="s">
        <v>1778</v>
      </c>
      <c r="F175" t="s">
        <v>30</v>
      </c>
      <c r="G175" t="s">
        <v>4317</v>
      </c>
      <c r="H175" t="s">
        <v>4317</v>
      </c>
      <c r="I175" s="5">
        <v>84</v>
      </c>
      <c r="J175" s="4">
        <v>7.8</v>
      </c>
      <c r="K175" s="5">
        <v>78</v>
      </c>
      <c r="L175" s="5">
        <v>265269</v>
      </c>
      <c r="M175" s="5">
        <v>91</v>
      </c>
      <c r="N175" s="5">
        <v>87</v>
      </c>
      <c r="O175" s="5">
        <v>252</v>
      </c>
      <c r="P175" s="5">
        <v>88</v>
      </c>
      <c r="Q175" s="5">
        <v>685996</v>
      </c>
      <c r="R175" s="5">
        <v>84</v>
      </c>
      <c r="S175" s="5">
        <v>2004290</v>
      </c>
      <c r="T175" s="5">
        <v>80</v>
      </c>
      <c r="U175" t="s">
        <v>75</v>
      </c>
      <c r="V175" s="2">
        <v>84.67</v>
      </c>
      <c r="W175" s="5">
        <f>Top_500_Movies_Ranked_by_Combined_Critics_and_Audience_Scores[[#This Row],[Critic_Rating_RT]]-Top_500_Movies_Ranked_by_Combined_Critics_and_Audience_Scores[[#This Row],[Audience_Rating]]</f>
        <v>-1</v>
      </c>
      <c r="X175" s="5">
        <f>FLOOR(Top_500_Movies_Ranked_by_Combined_Critics_and_Audience_Scores[[#This Row],[Year]],10)</f>
        <v>2010</v>
      </c>
    </row>
    <row r="176" spans="1:24" x14ac:dyDescent="0.2">
      <c r="A176" s="3">
        <v>175</v>
      </c>
      <c r="B176" t="s">
        <v>1785</v>
      </c>
      <c r="C176" s="5">
        <v>2004</v>
      </c>
      <c r="D176" t="s">
        <v>211</v>
      </c>
      <c r="E176" t="s">
        <v>1786</v>
      </c>
      <c r="F176" t="s">
        <v>30</v>
      </c>
      <c r="G176" t="s">
        <v>1789</v>
      </c>
      <c r="H176" t="s">
        <v>1790</v>
      </c>
      <c r="I176" s="5">
        <v>84</v>
      </c>
      <c r="J176" s="4">
        <v>8.1</v>
      </c>
      <c r="K176" s="5">
        <v>81</v>
      </c>
      <c r="L176" s="5">
        <v>300246</v>
      </c>
      <c r="M176" s="5">
        <v>91</v>
      </c>
      <c r="N176" s="5">
        <v>85</v>
      </c>
      <c r="O176" s="5">
        <v>116</v>
      </c>
      <c r="P176" s="5">
        <v>87</v>
      </c>
      <c r="Q176" s="5">
        <v>251191</v>
      </c>
      <c r="R176" s="5">
        <v>86</v>
      </c>
      <c r="S176" s="5">
        <v>610745</v>
      </c>
      <c r="T176" s="5">
        <v>78</v>
      </c>
      <c r="U176" t="s">
        <v>617</v>
      </c>
      <c r="V176" s="2">
        <v>84.67</v>
      </c>
      <c r="W176" s="5">
        <f>Top_500_Movies_Ranked_by_Combined_Critics_and_Audience_Scores[[#This Row],[Critic_Rating_RT]]-Top_500_Movies_Ranked_by_Combined_Critics_and_Audience_Scores[[#This Row],[Audience_Rating]]</f>
        <v>-2</v>
      </c>
      <c r="X176" s="5">
        <f>FLOOR(Top_500_Movies_Ranked_by_Combined_Critics_and_Audience_Scores[[#This Row],[Year]],10)</f>
        <v>2000</v>
      </c>
    </row>
    <row r="177" spans="1:24" x14ac:dyDescent="0.2">
      <c r="A177" s="3">
        <v>176</v>
      </c>
      <c r="B177" t="s">
        <v>1795</v>
      </c>
      <c r="C177" s="5">
        <v>2003</v>
      </c>
      <c r="D177" t="s">
        <v>65</v>
      </c>
      <c r="E177" t="s">
        <v>1796</v>
      </c>
      <c r="F177" t="s">
        <v>155</v>
      </c>
      <c r="G177" t="s">
        <v>1799</v>
      </c>
      <c r="H177" t="s">
        <v>335</v>
      </c>
      <c r="I177" s="5">
        <v>84</v>
      </c>
      <c r="J177" s="4">
        <v>8</v>
      </c>
      <c r="K177" s="5">
        <v>80</v>
      </c>
      <c r="L177" s="5">
        <v>88675</v>
      </c>
      <c r="M177" s="5">
        <v>85</v>
      </c>
      <c r="N177" s="5">
        <v>81</v>
      </c>
      <c r="O177" s="5">
        <v>55</v>
      </c>
      <c r="P177" s="5">
        <v>89</v>
      </c>
      <c r="Q177" s="5">
        <v>37196</v>
      </c>
      <c r="R177" s="5">
        <v>84</v>
      </c>
      <c r="S177" s="5">
        <v>54075</v>
      </c>
      <c r="T177" s="5">
        <v>89</v>
      </c>
      <c r="U177" t="s">
        <v>75</v>
      </c>
      <c r="V177" s="2">
        <v>84.67</v>
      </c>
      <c r="W177" s="5">
        <f>Top_500_Movies_Ranked_by_Combined_Critics_and_Audience_Scores[[#This Row],[Critic_Rating_RT]]-Top_500_Movies_Ranked_by_Combined_Critics_and_Audience_Scores[[#This Row],[Audience_Rating]]</f>
        <v>-8</v>
      </c>
      <c r="X177" s="5">
        <f>FLOOR(Top_500_Movies_Ranked_by_Combined_Critics_and_Audience_Scores[[#This Row],[Year]],10)</f>
        <v>2000</v>
      </c>
    </row>
    <row r="178" spans="1:24" x14ac:dyDescent="0.2">
      <c r="A178" s="3">
        <v>177</v>
      </c>
      <c r="B178" t="s">
        <v>1804</v>
      </c>
      <c r="C178" s="5">
        <v>1999</v>
      </c>
      <c r="D178" t="s">
        <v>1805</v>
      </c>
      <c r="E178" t="s">
        <v>743</v>
      </c>
      <c r="F178" t="s">
        <v>30</v>
      </c>
      <c r="G178" t="s">
        <v>1808</v>
      </c>
      <c r="H178" t="s">
        <v>216</v>
      </c>
      <c r="I178" s="5">
        <v>84</v>
      </c>
      <c r="J178" s="4">
        <v>8.1</v>
      </c>
      <c r="K178" s="5">
        <v>81</v>
      </c>
      <c r="L178" s="5">
        <v>242282</v>
      </c>
      <c r="M178" s="5">
        <v>85</v>
      </c>
      <c r="N178" s="5">
        <v>83</v>
      </c>
      <c r="O178" s="5">
        <v>87</v>
      </c>
      <c r="P178" s="5">
        <v>87</v>
      </c>
      <c r="Q178" s="5">
        <v>301689</v>
      </c>
      <c r="R178" s="5">
        <v>86</v>
      </c>
      <c r="S178" s="5">
        <v>494409</v>
      </c>
      <c r="T178" s="5">
        <v>86</v>
      </c>
      <c r="U178" t="s">
        <v>75</v>
      </c>
      <c r="V178" s="2">
        <v>84.67</v>
      </c>
      <c r="W178" s="5">
        <f>Top_500_Movies_Ranked_by_Combined_Critics_and_Audience_Scores[[#This Row],[Critic_Rating_RT]]-Top_500_Movies_Ranked_by_Combined_Critics_and_Audience_Scores[[#This Row],[Audience_Rating]]</f>
        <v>-4</v>
      </c>
      <c r="X178" s="5">
        <f>FLOOR(Top_500_Movies_Ranked_by_Combined_Critics_and_Audience_Scores[[#This Row],[Year]],10)</f>
        <v>1990</v>
      </c>
    </row>
    <row r="179" spans="1:24" x14ac:dyDescent="0.2">
      <c r="A179" s="3">
        <v>178</v>
      </c>
      <c r="B179" t="s">
        <v>1812</v>
      </c>
      <c r="C179" s="5">
        <v>2010</v>
      </c>
      <c r="D179" t="s">
        <v>1813</v>
      </c>
      <c r="E179" t="s">
        <v>1345</v>
      </c>
      <c r="F179" t="s">
        <v>321</v>
      </c>
      <c r="G179" t="s">
        <v>1816</v>
      </c>
      <c r="H179" t="s">
        <v>335</v>
      </c>
      <c r="I179" s="5">
        <v>84</v>
      </c>
      <c r="J179" s="4">
        <v>8.3000000000000007</v>
      </c>
      <c r="K179" s="5">
        <v>83</v>
      </c>
      <c r="L179" s="5">
        <v>224467</v>
      </c>
      <c r="M179" s="5">
        <v>80</v>
      </c>
      <c r="N179" s="5">
        <v>80</v>
      </c>
      <c r="O179" s="5">
        <v>100</v>
      </c>
      <c r="P179" s="5">
        <v>89</v>
      </c>
      <c r="Q179" s="5">
        <v>125557</v>
      </c>
      <c r="R179" s="5">
        <v>88</v>
      </c>
      <c r="S179" s="5">
        <v>340239</v>
      </c>
      <c r="T179" s="5">
        <v>88</v>
      </c>
      <c r="U179" t="s">
        <v>1819</v>
      </c>
      <c r="V179" s="2">
        <v>84.67</v>
      </c>
      <c r="W179" s="5">
        <f>Top_500_Movies_Ranked_by_Combined_Critics_and_Audience_Scores[[#This Row],[Critic_Rating_RT]]-Top_500_Movies_Ranked_by_Combined_Critics_and_Audience_Scores[[#This Row],[Audience_Rating]]</f>
        <v>-9</v>
      </c>
      <c r="X179" s="5">
        <f>FLOOR(Top_500_Movies_Ranked_by_Combined_Critics_and_Audience_Scores[[#This Row],[Year]],10)</f>
        <v>2010</v>
      </c>
    </row>
    <row r="180" spans="1:24" x14ac:dyDescent="0.2">
      <c r="A180" s="3">
        <v>179</v>
      </c>
      <c r="B180" t="s">
        <v>1822</v>
      </c>
      <c r="C180" s="5">
        <v>1975</v>
      </c>
      <c r="D180" t="s">
        <v>1823</v>
      </c>
      <c r="E180" t="s">
        <v>199</v>
      </c>
      <c r="F180" t="s">
        <v>30</v>
      </c>
      <c r="G180" t="s">
        <v>1826</v>
      </c>
      <c r="H180" t="s">
        <v>178</v>
      </c>
      <c r="I180" s="5">
        <v>83</v>
      </c>
      <c r="J180" s="4">
        <v>8.1</v>
      </c>
      <c r="K180" s="5">
        <v>81</v>
      </c>
      <c r="L180" s="5">
        <v>191699</v>
      </c>
      <c r="M180" s="5">
        <v>89</v>
      </c>
      <c r="N180" s="5">
        <v>84</v>
      </c>
      <c r="O180" s="5">
        <v>81</v>
      </c>
      <c r="P180" s="5">
        <v>89</v>
      </c>
      <c r="Q180" s="5">
        <v>119394</v>
      </c>
      <c r="R180" s="5">
        <v>88</v>
      </c>
      <c r="S180" s="5">
        <v>267520</v>
      </c>
      <c r="T180" s="5">
        <v>77</v>
      </c>
      <c r="U180" t="s">
        <v>135</v>
      </c>
      <c r="V180" s="2">
        <v>84.67</v>
      </c>
      <c r="W180" s="5">
        <f>Top_500_Movies_Ranked_by_Combined_Critics_and_Audience_Scores[[#This Row],[Critic_Rating_RT]]-Top_500_Movies_Ranked_by_Combined_Critics_and_Audience_Scores[[#This Row],[Audience_Rating]]</f>
        <v>-5</v>
      </c>
      <c r="X180" s="5">
        <f>FLOOR(Top_500_Movies_Ranked_by_Combined_Critics_and_Audience_Scores[[#This Row],[Year]],10)</f>
        <v>1970</v>
      </c>
    </row>
    <row r="181" spans="1:24" x14ac:dyDescent="0.2">
      <c r="A181" s="3">
        <v>180</v>
      </c>
      <c r="B181" t="s">
        <v>1831</v>
      </c>
      <c r="C181" s="5">
        <v>2022</v>
      </c>
      <c r="D181" t="s">
        <v>65</v>
      </c>
      <c r="E181" t="s">
        <v>4323</v>
      </c>
      <c r="F181" t="s">
        <v>1834</v>
      </c>
      <c r="G181" t="s">
        <v>4317</v>
      </c>
      <c r="H181" t="s">
        <v>4317</v>
      </c>
      <c r="I181" s="5">
        <v>84</v>
      </c>
      <c r="J181" s="4">
        <v>7.7</v>
      </c>
      <c r="K181" s="5">
        <v>77</v>
      </c>
      <c r="L181" s="5">
        <v>25779</v>
      </c>
      <c r="M181" s="5">
        <v>89</v>
      </c>
      <c r="N181" s="5">
        <v>88</v>
      </c>
      <c r="O181" s="5">
        <v>87</v>
      </c>
      <c r="Q181" s="5">
        <v>25673</v>
      </c>
      <c r="R181" s="5">
        <v>82</v>
      </c>
      <c r="S181" s="5">
        <v>76009</v>
      </c>
      <c r="T181" s="5">
        <v>87</v>
      </c>
      <c r="U181" t="s">
        <v>4317</v>
      </c>
      <c r="V181" s="2">
        <v>84.6</v>
      </c>
      <c r="W181" s="5">
        <f>Top_500_Movies_Ranked_by_Combined_Critics_and_Audience_Scores[[#This Row],[Critic_Rating_RT]]-Top_500_Movies_Ranked_by_Combined_Critics_and_Audience_Scores[[#This Row],[Audience_Rating]]</f>
        <v>88</v>
      </c>
      <c r="X181" s="5">
        <f>FLOOR(Top_500_Movies_Ranked_by_Combined_Critics_and_Audience_Scores[[#This Row],[Year]],10)</f>
        <v>2020</v>
      </c>
    </row>
    <row r="182" spans="1:24" x14ac:dyDescent="0.2">
      <c r="A182" s="3">
        <v>181</v>
      </c>
      <c r="B182" t="s">
        <v>1841</v>
      </c>
      <c r="C182" s="5">
        <v>2023</v>
      </c>
      <c r="D182" t="s">
        <v>1842</v>
      </c>
      <c r="E182" t="s">
        <v>1843</v>
      </c>
      <c r="F182" t="s">
        <v>30</v>
      </c>
      <c r="G182" t="s">
        <v>4317</v>
      </c>
      <c r="H182" t="s">
        <v>4317</v>
      </c>
      <c r="I182" s="5">
        <v>84</v>
      </c>
      <c r="J182" s="4">
        <v>7.6</v>
      </c>
      <c r="K182" s="5">
        <v>76</v>
      </c>
      <c r="L182" s="5">
        <v>69587</v>
      </c>
      <c r="M182" s="5">
        <v>90</v>
      </c>
      <c r="N182" s="5">
        <v>89</v>
      </c>
      <c r="O182" s="5">
        <v>147</v>
      </c>
      <c r="Q182" s="5">
        <v>192826</v>
      </c>
      <c r="R182" s="5">
        <v>78</v>
      </c>
      <c r="S182" s="5">
        <v>576310</v>
      </c>
      <c r="T182" s="5">
        <v>90</v>
      </c>
      <c r="U182" t="s">
        <v>4317</v>
      </c>
      <c r="V182" s="2">
        <v>84.6</v>
      </c>
      <c r="W182" s="5">
        <f>Top_500_Movies_Ranked_by_Combined_Critics_and_Audience_Scores[[#This Row],[Critic_Rating_RT]]-Top_500_Movies_Ranked_by_Combined_Critics_and_Audience_Scores[[#This Row],[Audience_Rating]]</f>
        <v>89</v>
      </c>
      <c r="X182" s="5">
        <f>FLOOR(Top_500_Movies_Ranked_by_Combined_Critics_and_Audience_Scores[[#This Row],[Year]],10)</f>
        <v>2020</v>
      </c>
    </row>
    <row r="183" spans="1:24" x14ac:dyDescent="0.2">
      <c r="A183" s="3">
        <v>182</v>
      </c>
      <c r="B183" t="s">
        <v>1850</v>
      </c>
      <c r="C183" s="5">
        <v>1956</v>
      </c>
      <c r="D183" t="s">
        <v>1851</v>
      </c>
      <c r="E183" t="s">
        <v>1852</v>
      </c>
      <c r="F183" t="s">
        <v>30</v>
      </c>
      <c r="G183" t="s">
        <v>191</v>
      </c>
      <c r="H183" t="s">
        <v>1855</v>
      </c>
      <c r="I183" s="5">
        <v>85</v>
      </c>
      <c r="J183" s="4">
        <v>7.7</v>
      </c>
      <c r="K183" s="5">
        <v>77</v>
      </c>
      <c r="L183" s="5">
        <v>57126</v>
      </c>
      <c r="M183" s="5">
        <v>92</v>
      </c>
      <c r="N183" s="5">
        <v>91</v>
      </c>
      <c r="O183" s="5">
        <v>60</v>
      </c>
      <c r="P183" s="5">
        <v>82</v>
      </c>
      <c r="Q183" s="5">
        <v>34972</v>
      </c>
      <c r="R183" s="5">
        <v>76</v>
      </c>
      <c r="S183" s="5">
        <v>66272</v>
      </c>
      <c r="T183" s="5">
        <v>89</v>
      </c>
      <c r="U183" t="s">
        <v>1858</v>
      </c>
      <c r="V183" s="2">
        <v>84.5</v>
      </c>
      <c r="W183" s="5">
        <f>Top_500_Movies_Ranked_by_Combined_Critics_and_Audience_Scores[[#This Row],[Critic_Rating_RT]]-Top_500_Movies_Ranked_by_Combined_Critics_and_Audience_Scores[[#This Row],[Audience_Rating]]</f>
        <v>9</v>
      </c>
      <c r="X183" s="5">
        <f>FLOOR(Top_500_Movies_Ranked_by_Combined_Critics_and_Audience_Scores[[#This Row],[Year]],10)</f>
        <v>1950</v>
      </c>
    </row>
    <row r="184" spans="1:24" x14ac:dyDescent="0.2">
      <c r="A184" s="3">
        <v>183</v>
      </c>
      <c r="B184" t="s">
        <v>1862</v>
      </c>
      <c r="C184" s="5">
        <v>1999</v>
      </c>
      <c r="D184" t="s">
        <v>1863</v>
      </c>
      <c r="E184" t="s">
        <v>622</v>
      </c>
      <c r="F184" t="s">
        <v>30</v>
      </c>
      <c r="G184" t="s">
        <v>1866</v>
      </c>
      <c r="H184" t="s">
        <v>1668</v>
      </c>
      <c r="I184" s="5">
        <v>85</v>
      </c>
      <c r="J184" s="4">
        <v>7.9</v>
      </c>
      <c r="K184" s="5">
        <v>79</v>
      </c>
      <c r="L184" s="5">
        <v>641688</v>
      </c>
      <c r="M184" s="5">
        <v>88</v>
      </c>
      <c r="N184" s="5">
        <v>87</v>
      </c>
      <c r="O184" s="5">
        <v>111</v>
      </c>
      <c r="P184" s="5">
        <v>83</v>
      </c>
      <c r="Q184" s="5">
        <v>1029005</v>
      </c>
      <c r="R184" s="5">
        <v>78</v>
      </c>
      <c r="S184" s="5">
        <v>1083467</v>
      </c>
      <c r="T184" s="5">
        <v>92</v>
      </c>
      <c r="U184" t="s">
        <v>444</v>
      </c>
      <c r="V184" s="2">
        <v>84.5</v>
      </c>
      <c r="W184" s="5">
        <f>Top_500_Movies_Ranked_by_Combined_Critics_and_Audience_Scores[[#This Row],[Critic_Rating_RT]]-Top_500_Movies_Ranked_by_Combined_Critics_and_Audience_Scores[[#This Row],[Audience_Rating]]</f>
        <v>4</v>
      </c>
      <c r="X184" s="5">
        <f>FLOOR(Top_500_Movies_Ranked_by_Combined_Critics_and_Audience_Scores[[#This Row],[Year]],10)</f>
        <v>1990</v>
      </c>
    </row>
    <row r="185" spans="1:24" x14ac:dyDescent="0.2">
      <c r="A185" s="3">
        <v>184</v>
      </c>
      <c r="B185" t="s">
        <v>1871</v>
      </c>
      <c r="C185" s="5">
        <v>1975</v>
      </c>
      <c r="D185" t="s">
        <v>1872</v>
      </c>
      <c r="E185" t="s">
        <v>81</v>
      </c>
      <c r="F185" t="s">
        <v>30</v>
      </c>
      <c r="G185" t="s">
        <v>1875</v>
      </c>
      <c r="H185" t="s">
        <v>85</v>
      </c>
      <c r="I185" s="5">
        <v>84</v>
      </c>
      <c r="J185" s="4">
        <v>8.1</v>
      </c>
      <c r="K185" s="5">
        <v>81</v>
      </c>
      <c r="L185" s="5">
        <v>689859</v>
      </c>
      <c r="M185" s="5">
        <v>87</v>
      </c>
      <c r="N185" s="5">
        <v>92</v>
      </c>
      <c r="O185" s="5">
        <v>112</v>
      </c>
      <c r="P185" s="5">
        <v>86</v>
      </c>
      <c r="Q185" s="5">
        <v>1006664</v>
      </c>
      <c r="R185" s="5">
        <v>78</v>
      </c>
      <c r="S185" s="5">
        <v>1126448</v>
      </c>
      <c r="T185" s="5">
        <v>83</v>
      </c>
      <c r="U185" t="s">
        <v>1502</v>
      </c>
      <c r="V185" s="2">
        <v>84.5</v>
      </c>
      <c r="W185" s="5">
        <f>Top_500_Movies_Ranked_by_Combined_Critics_and_Audience_Scores[[#This Row],[Critic_Rating_RT]]-Top_500_Movies_Ranked_by_Combined_Critics_and_Audience_Scores[[#This Row],[Audience_Rating]]</f>
        <v>6</v>
      </c>
      <c r="X185" s="5">
        <f>FLOOR(Top_500_Movies_Ranked_by_Combined_Critics_and_Audience_Scores[[#This Row],[Year]],10)</f>
        <v>1970</v>
      </c>
    </row>
    <row r="186" spans="1:24" x14ac:dyDescent="0.2">
      <c r="A186" s="3">
        <v>185</v>
      </c>
      <c r="B186" t="s">
        <v>1880</v>
      </c>
      <c r="C186" s="5">
        <v>2000</v>
      </c>
      <c r="D186" t="s">
        <v>448</v>
      </c>
      <c r="E186" t="s">
        <v>1881</v>
      </c>
      <c r="F186" t="s">
        <v>30</v>
      </c>
      <c r="G186" t="s">
        <v>1884</v>
      </c>
      <c r="H186" t="s">
        <v>1885</v>
      </c>
      <c r="I186" s="5">
        <v>83</v>
      </c>
      <c r="J186" s="4">
        <v>7.9</v>
      </c>
      <c r="K186" s="5">
        <v>79</v>
      </c>
      <c r="L186" s="5">
        <v>302521</v>
      </c>
      <c r="M186" s="5">
        <v>90</v>
      </c>
      <c r="N186" s="5">
        <v>83</v>
      </c>
      <c r="O186" s="5">
        <v>121</v>
      </c>
      <c r="P186" s="5">
        <v>87</v>
      </c>
      <c r="Q186" s="5">
        <v>382637</v>
      </c>
      <c r="R186" s="5">
        <v>82</v>
      </c>
      <c r="S186" s="5">
        <v>496969</v>
      </c>
      <c r="T186" s="5">
        <v>86</v>
      </c>
      <c r="U186" t="s">
        <v>42</v>
      </c>
      <c r="V186" s="2">
        <v>84.5</v>
      </c>
      <c r="W186" s="5">
        <f>Top_500_Movies_Ranked_by_Combined_Critics_and_Audience_Scores[[#This Row],[Critic_Rating_RT]]-Top_500_Movies_Ranked_by_Combined_Critics_and_Audience_Scores[[#This Row],[Audience_Rating]]</f>
        <v>-4</v>
      </c>
      <c r="X186" s="5">
        <f>FLOOR(Top_500_Movies_Ranked_by_Combined_Critics_and_Audience_Scores[[#This Row],[Year]],10)</f>
        <v>2000</v>
      </c>
    </row>
    <row r="187" spans="1:24" x14ac:dyDescent="0.2">
      <c r="A187" s="3">
        <v>186</v>
      </c>
      <c r="B187" t="s">
        <v>1890</v>
      </c>
      <c r="C187" s="5">
        <v>2014</v>
      </c>
      <c r="D187" t="s">
        <v>1891</v>
      </c>
      <c r="E187" t="s">
        <v>1892</v>
      </c>
      <c r="F187" t="s">
        <v>30</v>
      </c>
      <c r="G187" t="s">
        <v>1895</v>
      </c>
      <c r="H187" t="s">
        <v>1570</v>
      </c>
      <c r="I187" s="5">
        <v>84</v>
      </c>
      <c r="J187" s="4">
        <v>8</v>
      </c>
      <c r="K187" s="5">
        <v>80</v>
      </c>
      <c r="L187" s="5">
        <v>65443</v>
      </c>
      <c r="M187" s="5">
        <v>85</v>
      </c>
      <c r="N187" s="5">
        <v>84</v>
      </c>
      <c r="O187" s="5">
        <v>71</v>
      </c>
      <c r="P187" s="5">
        <v>89</v>
      </c>
      <c r="Q187" s="5">
        <v>42155</v>
      </c>
      <c r="R187" s="5">
        <v>84</v>
      </c>
      <c r="S187" s="5">
        <v>101315</v>
      </c>
      <c r="T187" s="5">
        <v>85</v>
      </c>
      <c r="U187" t="s">
        <v>75</v>
      </c>
      <c r="V187" s="2">
        <v>84.5</v>
      </c>
      <c r="W187" s="5">
        <f>Top_500_Movies_Ranked_by_Combined_Critics_and_Audience_Scores[[#This Row],[Critic_Rating_RT]]-Top_500_Movies_Ranked_by_Combined_Critics_and_Audience_Scores[[#This Row],[Audience_Rating]]</f>
        <v>-5</v>
      </c>
      <c r="X187" s="5">
        <f>FLOOR(Top_500_Movies_Ranked_by_Combined_Critics_and_Audience_Scores[[#This Row],[Year]],10)</f>
        <v>2010</v>
      </c>
    </row>
    <row r="188" spans="1:24" x14ac:dyDescent="0.2">
      <c r="A188" s="3">
        <v>187</v>
      </c>
      <c r="B188" t="s">
        <v>1900</v>
      </c>
      <c r="C188" s="5">
        <v>1995</v>
      </c>
      <c r="D188" t="s">
        <v>211</v>
      </c>
      <c r="E188" t="s">
        <v>1786</v>
      </c>
      <c r="F188" t="s">
        <v>30</v>
      </c>
      <c r="G188" t="s">
        <v>1903</v>
      </c>
      <c r="H188" t="s">
        <v>893</v>
      </c>
      <c r="I188" s="5">
        <v>84</v>
      </c>
      <c r="J188" s="4">
        <v>8.1</v>
      </c>
      <c r="K188" s="5">
        <v>81</v>
      </c>
      <c r="L188" s="5">
        <v>356358</v>
      </c>
      <c r="M188" s="5">
        <v>79</v>
      </c>
      <c r="N188" s="5">
        <v>83</v>
      </c>
      <c r="O188" s="5">
        <v>51</v>
      </c>
      <c r="P188" s="5">
        <v>89</v>
      </c>
      <c r="Q188" s="5">
        <v>370547</v>
      </c>
      <c r="R188" s="5">
        <v>86</v>
      </c>
      <c r="S188" s="5">
        <v>963660</v>
      </c>
      <c r="T188" s="5">
        <v>89</v>
      </c>
      <c r="U188" t="s">
        <v>75</v>
      </c>
      <c r="V188" s="2">
        <v>84.5</v>
      </c>
      <c r="W188" s="5">
        <f>Top_500_Movies_Ranked_by_Combined_Critics_and_Audience_Scores[[#This Row],[Critic_Rating_RT]]-Top_500_Movies_Ranked_by_Combined_Critics_and_Audience_Scores[[#This Row],[Audience_Rating]]</f>
        <v>-6</v>
      </c>
      <c r="X188" s="5">
        <f>FLOOR(Top_500_Movies_Ranked_by_Combined_Critics_and_Audience_Scores[[#This Row],[Year]],10)</f>
        <v>1990</v>
      </c>
    </row>
    <row r="189" spans="1:24" x14ac:dyDescent="0.2">
      <c r="A189" s="3">
        <v>188</v>
      </c>
      <c r="B189" t="s">
        <v>1908</v>
      </c>
      <c r="C189" s="5">
        <v>1982</v>
      </c>
      <c r="D189" t="s">
        <v>1909</v>
      </c>
      <c r="E189" t="s">
        <v>549</v>
      </c>
      <c r="F189" t="s">
        <v>30</v>
      </c>
      <c r="G189" t="s">
        <v>1912</v>
      </c>
      <c r="H189" t="s">
        <v>216</v>
      </c>
      <c r="I189" s="5">
        <v>84</v>
      </c>
      <c r="J189" s="4">
        <v>8.1</v>
      </c>
      <c r="K189" s="5">
        <v>81</v>
      </c>
      <c r="L189" s="5">
        <v>849918</v>
      </c>
      <c r="M189" s="5">
        <v>84</v>
      </c>
      <c r="N189" s="5">
        <v>85</v>
      </c>
      <c r="O189" s="5">
        <v>117</v>
      </c>
      <c r="P189" s="5">
        <v>88</v>
      </c>
      <c r="Q189" s="5">
        <v>587241</v>
      </c>
      <c r="R189" s="5">
        <v>82</v>
      </c>
      <c r="S189" s="5">
        <v>1083638</v>
      </c>
      <c r="T189" s="5">
        <v>87</v>
      </c>
      <c r="U189" t="s">
        <v>75</v>
      </c>
      <c r="V189" s="2">
        <v>84.5</v>
      </c>
      <c r="W189" s="5">
        <f>Top_500_Movies_Ranked_by_Combined_Critics_and_Audience_Scores[[#This Row],[Critic_Rating_RT]]-Top_500_Movies_Ranked_by_Combined_Critics_and_Audience_Scores[[#This Row],[Audience_Rating]]</f>
        <v>-3</v>
      </c>
      <c r="X189" s="5">
        <f>FLOOR(Top_500_Movies_Ranked_by_Combined_Critics_and_Audience_Scores[[#This Row],[Year]],10)</f>
        <v>1980</v>
      </c>
    </row>
    <row r="190" spans="1:24" x14ac:dyDescent="0.2">
      <c r="A190" s="3">
        <v>189</v>
      </c>
      <c r="B190" t="s">
        <v>1917</v>
      </c>
      <c r="C190" s="5">
        <v>2014</v>
      </c>
      <c r="D190" t="s">
        <v>65</v>
      </c>
      <c r="E190" t="s">
        <v>1786</v>
      </c>
      <c r="F190" t="s">
        <v>30</v>
      </c>
      <c r="G190" t="s">
        <v>1920</v>
      </c>
      <c r="H190" t="s">
        <v>1260</v>
      </c>
      <c r="I190" s="5">
        <v>85</v>
      </c>
      <c r="J190" s="4">
        <v>7.9</v>
      </c>
      <c r="K190" s="5">
        <v>79</v>
      </c>
      <c r="L190" s="5">
        <v>374552</v>
      </c>
      <c r="M190" s="5">
        <v>100</v>
      </c>
      <c r="N190" s="5">
        <v>95</v>
      </c>
      <c r="O190" s="5">
        <v>252</v>
      </c>
      <c r="P190" s="5">
        <v>78</v>
      </c>
      <c r="Q190" s="5">
        <v>234140</v>
      </c>
      <c r="R190" s="5">
        <v>76</v>
      </c>
      <c r="S190" s="5">
        <v>522064</v>
      </c>
      <c r="T190" s="5">
        <v>79</v>
      </c>
      <c r="U190" t="s">
        <v>1923</v>
      </c>
      <c r="V190" s="2">
        <v>84.5</v>
      </c>
      <c r="W190" s="5">
        <f>Top_500_Movies_Ranked_by_Combined_Critics_and_Audience_Scores[[#This Row],[Critic_Rating_RT]]-Top_500_Movies_Ranked_by_Combined_Critics_and_Audience_Scores[[#This Row],[Audience_Rating]]</f>
        <v>17</v>
      </c>
      <c r="X190" s="5">
        <f>FLOOR(Top_500_Movies_Ranked_by_Combined_Critics_and_Audience_Scores[[#This Row],[Year]],10)</f>
        <v>2010</v>
      </c>
    </row>
    <row r="191" spans="1:24" x14ac:dyDescent="0.2">
      <c r="A191" s="3">
        <v>190</v>
      </c>
      <c r="B191" t="s">
        <v>1926</v>
      </c>
      <c r="C191" s="5">
        <v>2016</v>
      </c>
      <c r="D191" t="s">
        <v>65</v>
      </c>
      <c r="E191" t="s">
        <v>1927</v>
      </c>
      <c r="F191" t="s">
        <v>30</v>
      </c>
      <c r="G191" t="s">
        <v>4317</v>
      </c>
      <c r="H191" t="s">
        <v>4317</v>
      </c>
      <c r="I191" s="5">
        <v>85</v>
      </c>
      <c r="J191" s="4">
        <v>7.4</v>
      </c>
      <c r="K191" s="5">
        <v>74</v>
      </c>
      <c r="L191" s="5">
        <v>340819</v>
      </c>
      <c r="M191" s="5">
        <v>99</v>
      </c>
      <c r="N191" s="5">
        <v>92</v>
      </c>
      <c r="O191" s="5">
        <v>265</v>
      </c>
      <c r="P191" s="5">
        <v>77</v>
      </c>
      <c r="Q191" s="5">
        <v>402939</v>
      </c>
      <c r="R191" s="5">
        <v>84</v>
      </c>
      <c r="S191" s="5">
        <v>1115696</v>
      </c>
      <c r="T191" s="5">
        <v>80</v>
      </c>
      <c r="U191" t="s">
        <v>75</v>
      </c>
      <c r="V191" s="2">
        <v>84.33</v>
      </c>
      <c r="W191" s="5">
        <f>Top_500_Movies_Ranked_by_Combined_Critics_and_Audience_Scores[[#This Row],[Critic_Rating_RT]]-Top_500_Movies_Ranked_by_Combined_Critics_and_Audience_Scores[[#This Row],[Audience_Rating]]</f>
        <v>15</v>
      </c>
      <c r="X191" s="5">
        <f>FLOOR(Top_500_Movies_Ranked_by_Combined_Critics_and_Audience_Scores[[#This Row],[Year]],10)</f>
        <v>2010</v>
      </c>
    </row>
    <row r="192" spans="1:24" x14ac:dyDescent="0.2">
      <c r="A192" s="3">
        <v>191</v>
      </c>
      <c r="B192" t="s">
        <v>1936</v>
      </c>
      <c r="C192" s="5">
        <v>2015</v>
      </c>
      <c r="D192" t="s">
        <v>643</v>
      </c>
      <c r="E192" t="s">
        <v>1937</v>
      </c>
      <c r="F192" t="s">
        <v>30</v>
      </c>
      <c r="G192" t="s">
        <v>4317</v>
      </c>
      <c r="H192" t="s">
        <v>4317</v>
      </c>
      <c r="I192" s="5">
        <v>83</v>
      </c>
      <c r="J192" s="4">
        <v>8.1</v>
      </c>
      <c r="K192" s="5">
        <v>81</v>
      </c>
      <c r="L192" s="5">
        <v>465914</v>
      </c>
      <c r="M192" s="5">
        <v>86</v>
      </c>
      <c r="N192" s="5">
        <v>85</v>
      </c>
      <c r="O192" s="5">
        <v>225</v>
      </c>
      <c r="P192" s="5">
        <v>89</v>
      </c>
      <c r="Q192" s="5">
        <v>262276</v>
      </c>
      <c r="R192" s="5">
        <v>80</v>
      </c>
      <c r="S192" s="5">
        <v>686364</v>
      </c>
      <c r="T192" s="5">
        <v>85</v>
      </c>
      <c r="U192" t="s">
        <v>135</v>
      </c>
      <c r="V192" s="2">
        <v>84.33</v>
      </c>
      <c r="W192" s="5">
        <f>Top_500_Movies_Ranked_by_Combined_Critics_and_Audience_Scores[[#This Row],[Critic_Rating_RT]]-Top_500_Movies_Ranked_by_Combined_Critics_and_Audience_Scores[[#This Row],[Audience_Rating]]</f>
        <v>-4</v>
      </c>
      <c r="X192" s="5">
        <f>FLOOR(Top_500_Movies_Ranked_by_Combined_Critics_and_Audience_Scores[[#This Row],[Year]],10)</f>
        <v>2010</v>
      </c>
    </row>
    <row r="193" spans="1:24" x14ac:dyDescent="0.2">
      <c r="A193" s="3">
        <v>192</v>
      </c>
      <c r="B193" t="s">
        <v>1944</v>
      </c>
      <c r="C193" s="5">
        <v>1946</v>
      </c>
      <c r="D193" t="s">
        <v>1602</v>
      </c>
      <c r="E193" t="s">
        <v>1945</v>
      </c>
      <c r="F193" t="s">
        <v>30</v>
      </c>
      <c r="G193" t="s">
        <v>191</v>
      </c>
      <c r="H193" t="s">
        <v>216</v>
      </c>
      <c r="I193" s="5">
        <v>84</v>
      </c>
      <c r="J193" s="4">
        <v>7.9</v>
      </c>
      <c r="K193" s="5">
        <v>79</v>
      </c>
      <c r="L193" s="5">
        <v>92865</v>
      </c>
      <c r="M193" s="5">
        <v>86</v>
      </c>
      <c r="N193" s="5">
        <v>88</v>
      </c>
      <c r="O193" s="5">
        <v>52</v>
      </c>
      <c r="P193" s="5">
        <v>87</v>
      </c>
      <c r="Q193" s="5">
        <v>45927</v>
      </c>
      <c r="R193" s="5">
        <v>80</v>
      </c>
      <c r="S193" s="5">
        <v>70518</v>
      </c>
      <c r="T193" s="5">
        <v>86</v>
      </c>
      <c r="U193" t="s">
        <v>75</v>
      </c>
      <c r="V193" s="2">
        <v>84.33</v>
      </c>
      <c r="W193" s="5">
        <f>Top_500_Movies_Ranked_by_Combined_Critics_and_Audience_Scores[[#This Row],[Critic_Rating_RT]]-Top_500_Movies_Ranked_by_Combined_Critics_and_Audience_Scores[[#This Row],[Audience_Rating]]</f>
        <v>1</v>
      </c>
      <c r="X193" s="5">
        <f>FLOOR(Top_500_Movies_Ranked_by_Combined_Critics_and_Audience_Scores[[#This Row],[Year]],10)</f>
        <v>1940</v>
      </c>
    </row>
    <row r="194" spans="1:24" x14ac:dyDescent="0.2">
      <c r="A194" s="3">
        <v>193</v>
      </c>
      <c r="B194" t="s">
        <v>1952</v>
      </c>
      <c r="C194" s="5">
        <v>1940</v>
      </c>
      <c r="D194" t="s">
        <v>234</v>
      </c>
      <c r="E194" t="s">
        <v>1945</v>
      </c>
      <c r="F194" t="s">
        <v>30</v>
      </c>
      <c r="G194" t="s">
        <v>191</v>
      </c>
      <c r="H194" t="s">
        <v>53</v>
      </c>
      <c r="I194" s="5">
        <v>83</v>
      </c>
      <c r="J194" s="4">
        <v>7.8</v>
      </c>
      <c r="K194" s="5">
        <v>78</v>
      </c>
      <c r="L194" s="5">
        <v>65318</v>
      </c>
      <c r="N194" s="5">
        <v>92</v>
      </c>
      <c r="O194" s="5">
        <v>62</v>
      </c>
      <c r="P194" s="5">
        <v>86</v>
      </c>
      <c r="Q194" s="5">
        <v>47826</v>
      </c>
      <c r="R194" s="5">
        <v>80</v>
      </c>
      <c r="S194" s="5">
        <v>94657</v>
      </c>
      <c r="T194" s="5">
        <v>85</v>
      </c>
      <c r="U194" t="s">
        <v>253</v>
      </c>
      <c r="V194" s="2">
        <v>84.2</v>
      </c>
      <c r="W194" s="5">
        <f>Top_500_Movies_Ranked_by_Combined_Critics_and_Audience_Scores[[#This Row],[Critic_Rating_RT]]-Top_500_Movies_Ranked_by_Combined_Critics_and_Audience_Scores[[#This Row],[Audience_Rating]]</f>
        <v>6</v>
      </c>
      <c r="X194" s="5">
        <f>FLOOR(Top_500_Movies_Ranked_by_Combined_Critics_and_Audience_Scores[[#This Row],[Year]],10)</f>
        <v>1940</v>
      </c>
    </row>
    <row r="195" spans="1:24" x14ac:dyDescent="0.2">
      <c r="A195" s="3">
        <v>194</v>
      </c>
      <c r="B195" t="s">
        <v>1960</v>
      </c>
      <c r="C195" s="5">
        <v>1999</v>
      </c>
      <c r="D195" t="s">
        <v>992</v>
      </c>
      <c r="E195" t="s">
        <v>4324</v>
      </c>
      <c r="F195" t="s">
        <v>492</v>
      </c>
      <c r="G195" t="s">
        <v>1964</v>
      </c>
      <c r="H195" t="s">
        <v>335</v>
      </c>
      <c r="I195" s="5">
        <v>83</v>
      </c>
      <c r="J195" s="4">
        <v>7.8</v>
      </c>
      <c r="K195" s="5">
        <v>78</v>
      </c>
      <c r="L195" s="5">
        <v>106182</v>
      </c>
      <c r="M195" s="5">
        <v>87</v>
      </c>
      <c r="N195" s="5">
        <v>83</v>
      </c>
      <c r="O195" s="5">
        <v>57</v>
      </c>
      <c r="P195" s="5">
        <v>88</v>
      </c>
      <c r="Q195" s="5">
        <v>102959</v>
      </c>
      <c r="R195" s="5">
        <v>84</v>
      </c>
      <c r="S195" s="5">
        <v>204213</v>
      </c>
      <c r="T195" s="5">
        <v>85</v>
      </c>
      <c r="U195" t="s">
        <v>75</v>
      </c>
      <c r="V195" s="2">
        <v>84.17</v>
      </c>
      <c r="W195" s="5">
        <f>Top_500_Movies_Ranked_by_Combined_Critics_and_Audience_Scores[[#This Row],[Critic_Rating_RT]]-Top_500_Movies_Ranked_by_Combined_Critics_and_Audience_Scores[[#This Row],[Audience_Rating]]</f>
        <v>-5</v>
      </c>
      <c r="X195" s="5">
        <f>FLOOR(Top_500_Movies_Ranked_by_Combined_Critics_and_Audience_Scores[[#This Row],[Year]],10)</f>
        <v>1990</v>
      </c>
    </row>
    <row r="196" spans="1:24" x14ac:dyDescent="0.2">
      <c r="A196" s="3">
        <v>195</v>
      </c>
      <c r="B196" t="s">
        <v>1970</v>
      </c>
      <c r="C196" s="5">
        <v>1976</v>
      </c>
      <c r="D196" t="s">
        <v>65</v>
      </c>
      <c r="E196" t="s">
        <v>66</v>
      </c>
      <c r="F196" t="s">
        <v>30</v>
      </c>
      <c r="G196" t="s">
        <v>1973</v>
      </c>
      <c r="H196" t="s">
        <v>1974</v>
      </c>
      <c r="I196" s="5">
        <v>83</v>
      </c>
      <c r="J196" s="4">
        <v>8.1</v>
      </c>
      <c r="K196" s="5">
        <v>81</v>
      </c>
      <c r="L196" s="5">
        <v>178013</v>
      </c>
      <c r="M196" s="5">
        <v>83</v>
      </c>
      <c r="N196" s="5">
        <v>85</v>
      </c>
      <c r="O196" s="5">
        <v>57</v>
      </c>
      <c r="P196" s="5">
        <v>89</v>
      </c>
      <c r="Q196" s="5">
        <v>78540</v>
      </c>
      <c r="R196" s="5">
        <v>86</v>
      </c>
      <c r="S196" s="5">
        <v>162520</v>
      </c>
      <c r="T196" s="5">
        <v>81</v>
      </c>
      <c r="U196" t="s">
        <v>75</v>
      </c>
      <c r="V196" s="2">
        <v>84.17</v>
      </c>
      <c r="W196" s="5">
        <f>Top_500_Movies_Ranked_by_Combined_Critics_and_Audience_Scores[[#This Row],[Critic_Rating_RT]]-Top_500_Movies_Ranked_by_Combined_Critics_and_Audience_Scores[[#This Row],[Audience_Rating]]</f>
        <v>-4</v>
      </c>
      <c r="X196" s="5">
        <f>FLOOR(Top_500_Movies_Ranked_by_Combined_Critics_and_Audience_Scores[[#This Row],[Year]],10)</f>
        <v>1970</v>
      </c>
    </row>
    <row r="197" spans="1:24" x14ac:dyDescent="0.2">
      <c r="A197" s="3">
        <v>196</v>
      </c>
      <c r="B197" t="s">
        <v>1979</v>
      </c>
      <c r="C197" s="5">
        <v>2003</v>
      </c>
      <c r="D197" t="s">
        <v>1980</v>
      </c>
      <c r="E197" t="s">
        <v>1230</v>
      </c>
      <c r="F197" t="s">
        <v>155</v>
      </c>
      <c r="G197" t="s">
        <v>1983</v>
      </c>
      <c r="H197" t="s">
        <v>1984</v>
      </c>
      <c r="I197" s="5">
        <v>83</v>
      </c>
      <c r="J197" s="4">
        <v>8.3000000000000007</v>
      </c>
      <c r="K197" s="5">
        <v>83</v>
      </c>
      <c r="L197" s="5">
        <v>673464</v>
      </c>
      <c r="M197" s="5">
        <v>78</v>
      </c>
      <c r="N197" s="5">
        <v>75</v>
      </c>
      <c r="O197" s="5">
        <v>128</v>
      </c>
      <c r="P197" s="5">
        <v>91</v>
      </c>
      <c r="Q197" s="5">
        <v>428547</v>
      </c>
      <c r="R197" s="5">
        <v>88</v>
      </c>
      <c r="S197" s="5">
        <v>1016835</v>
      </c>
      <c r="T197" s="5">
        <v>90</v>
      </c>
      <c r="U197" t="s">
        <v>4317</v>
      </c>
      <c r="V197" s="2">
        <v>84.17</v>
      </c>
      <c r="W197" s="5">
        <f>Top_500_Movies_Ranked_by_Combined_Critics_and_Audience_Scores[[#This Row],[Critic_Rating_RT]]-Top_500_Movies_Ranked_by_Combined_Critics_and_Audience_Scores[[#This Row],[Audience_Rating]]</f>
        <v>-16</v>
      </c>
      <c r="X197" s="5">
        <f>FLOOR(Top_500_Movies_Ranked_by_Combined_Critics_and_Audience_Scores[[#This Row],[Year]],10)</f>
        <v>2000</v>
      </c>
    </row>
    <row r="198" spans="1:24" x14ac:dyDescent="0.2">
      <c r="A198" s="3">
        <v>197</v>
      </c>
      <c r="B198" t="s">
        <v>1989</v>
      </c>
      <c r="C198" s="5">
        <v>2003</v>
      </c>
      <c r="D198" t="s">
        <v>1990</v>
      </c>
      <c r="E198" t="s">
        <v>1991</v>
      </c>
      <c r="F198" t="s">
        <v>321</v>
      </c>
      <c r="G198" t="s">
        <v>4317</v>
      </c>
      <c r="H198" t="s">
        <v>4317</v>
      </c>
      <c r="I198" s="5">
        <v>83</v>
      </c>
      <c r="J198" s="4">
        <v>7.7</v>
      </c>
      <c r="K198" s="5">
        <v>77</v>
      </c>
      <c r="L198" s="5">
        <v>58151</v>
      </c>
      <c r="M198" s="5">
        <v>91</v>
      </c>
      <c r="N198" s="5">
        <v>84</v>
      </c>
      <c r="O198" s="5">
        <v>85</v>
      </c>
      <c r="P198" s="5">
        <v>86</v>
      </c>
      <c r="Q198" s="5">
        <v>44514</v>
      </c>
      <c r="R198" s="5">
        <v>80</v>
      </c>
      <c r="S198" s="5">
        <v>52924</v>
      </c>
      <c r="T198" s="5">
        <v>87</v>
      </c>
      <c r="U198" t="s">
        <v>75</v>
      </c>
      <c r="V198" s="2">
        <v>84.17</v>
      </c>
      <c r="W198" s="5">
        <f>Top_500_Movies_Ranked_by_Combined_Critics_and_Audience_Scores[[#This Row],[Critic_Rating_RT]]-Top_500_Movies_Ranked_by_Combined_Critics_and_Audience_Scores[[#This Row],[Audience_Rating]]</f>
        <v>-2</v>
      </c>
      <c r="X198" s="5">
        <f>FLOOR(Top_500_Movies_Ranked_by_Combined_Critics_and_Audience_Scores[[#This Row],[Year]],10)</f>
        <v>2000</v>
      </c>
    </row>
    <row r="199" spans="1:24" x14ac:dyDescent="0.2">
      <c r="A199" s="3">
        <v>198</v>
      </c>
      <c r="B199" t="s">
        <v>1998</v>
      </c>
      <c r="C199" s="5">
        <v>2009</v>
      </c>
      <c r="D199" t="s">
        <v>593</v>
      </c>
      <c r="E199" t="s">
        <v>1999</v>
      </c>
      <c r="F199" t="s">
        <v>321</v>
      </c>
      <c r="G199" t="s">
        <v>2002</v>
      </c>
      <c r="H199" t="s">
        <v>335</v>
      </c>
      <c r="I199" s="5">
        <v>84</v>
      </c>
      <c r="J199" s="4">
        <v>7.8</v>
      </c>
      <c r="K199" s="5">
        <v>78</v>
      </c>
      <c r="L199" s="5">
        <v>104716</v>
      </c>
      <c r="M199" s="5">
        <v>90</v>
      </c>
      <c r="N199" s="5">
        <v>85</v>
      </c>
      <c r="O199" s="5">
        <v>118</v>
      </c>
      <c r="P199" s="5">
        <v>85</v>
      </c>
      <c r="Q199" s="5">
        <v>36995</v>
      </c>
      <c r="R199" s="5">
        <v>84</v>
      </c>
      <c r="S199" s="5">
        <v>60869</v>
      </c>
      <c r="T199" s="5">
        <v>83</v>
      </c>
      <c r="U199" t="s">
        <v>75</v>
      </c>
      <c r="V199" s="2">
        <v>84.17</v>
      </c>
      <c r="W199" s="5">
        <f>Top_500_Movies_Ranked_by_Combined_Critics_and_Audience_Scores[[#This Row],[Critic_Rating_RT]]-Top_500_Movies_Ranked_by_Combined_Critics_and_Audience_Scores[[#This Row],[Audience_Rating]]</f>
        <v>0</v>
      </c>
      <c r="X199" s="5">
        <f>FLOOR(Top_500_Movies_Ranked_by_Combined_Critics_and_Audience_Scores[[#This Row],[Year]],10)</f>
        <v>2000</v>
      </c>
    </row>
    <row r="200" spans="1:24" x14ac:dyDescent="0.2">
      <c r="A200" s="3">
        <v>199</v>
      </c>
      <c r="B200" t="s">
        <v>2007</v>
      </c>
      <c r="C200" s="5">
        <v>2008</v>
      </c>
      <c r="D200" t="s">
        <v>211</v>
      </c>
      <c r="E200" t="s">
        <v>1535</v>
      </c>
      <c r="F200" t="s">
        <v>30</v>
      </c>
      <c r="G200" t="s">
        <v>2010</v>
      </c>
      <c r="H200" t="s">
        <v>2011</v>
      </c>
      <c r="I200" s="5">
        <v>84</v>
      </c>
      <c r="J200" s="4">
        <v>8</v>
      </c>
      <c r="K200" s="5">
        <v>80</v>
      </c>
      <c r="L200" s="5">
        <v>893294</v>
      </c>
      <c r="M200" s="5">
        <v>84</v>
      </c>
      <c r="N200" s="5">
        <v>84</v>
      </c>
      <c r="O200" s="5">
        <v>162</v>
      </c>
      <c r="P200" s="5">
        <v>86</v>
      </c>
      <c r="Q200" s="5">
        <v>940532</v>
      </c>
      <c r="R200" s="5">
        <v>78</v>
      </c>
      <c r="S200" s="5">
        <v>509273</v>
      </c>
      <c r="T200" s="5">
        <v>93</v>
      </c>
      <c r="U200" t="s">
        <v>135</v>
      </c>
      <c r="V200" s="2">
        <v>84.17</v>
      </c>
      <c r="W200" s="5">
        <f>Top_500_Movies_Ranked_by_Combined_Critics_and_Audience_Scores[[#This Row],[Critic_Rating_RT]]-Top_500_Movies_Ranked_by_Combined_Critics_and_Audience_Scores[[#This Row],[Audience_Rating]]</f>
        <v>-2</v>
      </c>
      <c r="X200" s="5">
        <f>FLOOR(Top_500_Movies_Ranked_by_Combined_Critics_and_Audience_Scores[[#This Row],[Year]],10)</f>
        <v>2000</v>
      </c>
    </row>
    <row r="201" spans="1:24" x14ac:dyDescent="0.2">
      <c r="A201" s="3">
        <v>200</v>
      </c>
      <c r="B201" t="s">
        <v>2016</v>
      </c>
      <c r="C201" s="5">
        <v>2017</v>
      </c>
      <c r="D201" t="s">
        <v>2017</v>
      </c>
      <c r="E201" t="s">
        <v>2018</v>
      </c>
      <c r="F201" t="s">
        <v>30</v>
      </c>
      <c r="G201" t="s">
        <v>4317</v>
      </c>
      <c r="H201" t="s">
        <v>4317</v>
      </c>
      <c r="I201" s="5">
        <v>84</v>
      </c>
      <c r="J201" s="4">
        <v>7.8</v>
      </c>
      <c r="K201" s="5">
        <v>78</v>
      </c>
      <c r="L201" s="5">
        <v>104591</v>
      </c>
      <c r="M201" s="5">
        <v>88</v>
      </c>
      <c r="N201" s="5">
        <v>87</v>
      </c>
      <c r="O201" s="5">
        <v>183</v>
      </c>
      <c r="P201" s="5">
        <v>84</v>
      </c>
      <c r="Q201" s="5">
        <v>170554</v>
      </c>
      <c r="R201" s="5">
        <v>84</v>
      </c>
      <c r="S201" s="5">
        <v>492384</v>
      </c>
      <c r="T201" s="5">
        <v>84</v>
      </c>
      <c r="U201" t="s">
        <v>1747</v>
      </c>
      <c r="V201" s="2">
        <v>84.17</v>
      </c>
      <c r="W201" s="5">
        <f>Top_500_Movies_Ranked_by_Combined_Critics_and_Audience_Scores[[#This Row],[Critic_Rating_RT]]-Top_500_Movies_Ranked_by_Combined_Critics_and_Audience_Scores[[#This Row],[Audience_Rating]]</f>
        <v>3</v>
      </c>
      <c r="X201" s="5">
        <f>FLOOR(Top_500_Movies_Ranked_by_Combined_Critics_and_Audience_Scores[[#This Row],[Year]],10)</f>
        <v>2010</v>
      </c>
    </row>
    <row r="202" spans="1:24" x14ac:dyDescent="0.2">
      <c r="A202" s="3">
        <v>201</v>
      </c>
      <c r="B202" t="s">
        <v>2025</v>
      </c>
      <c r="C202" s="5">
        <v>1964</v>
      </c>
      <c r="D202" t="s">
        <v>2026</v>
      </c>
      <c r="E202" t="s">
        <v>1285</v>
      </c>
      <c r="F202" t="s">
        <v>30</v>
      </c>
      <c r="G202" t="s">
        <v>2029</v>
      </c>
      <c r="H202" t="s">
        <v>216</v>
      </c>
      <c r="I202" s="5">
        <v>83</v>
      </c>
      <c r="J202" s="4">
        <v>7.7</v>
      </c>
      <c r="K202" s="5">
        <v>77</v>
      </c>
      <c r="L202" s="5">
        <v>104578</v>
      </c>
      <c r="M202" s="5">
        <v>95</v>
      </c>
      <c r="N202" s="5">
        <v>89</v>
      </c>
      <c r="O202" s="5">
        <v>54</v>
      </c>
      <c r="P202" s="5">
        <v>86</v>
      </c>
      <c r="Q202" s="5">
        <v>154784</v>
      </c>
      <c r="R202" s="5">
        <v>72</v>
      </c>
      <c r="S202" s="5">
        <v>89861</v>
      </c>
      <c r="T202" s="5">
        <v>86</v>
      </c>
      <c r="U202" t="s">
        <v>4317</v>
      </c>
      <c r="V202" s="2">
        <v>84.17</v>
      </c>
      <c r="W202" s="5">
        <f>Top_500_Movies_Ranked_by_Combined_Critics_and_Audience_Scores[[#This Row],[Critic_Rating_RT]]-Top_500_Movies_Ranked_by_Combined_Critics_and_Audience_Scores[[#This Row],[Audience_Rating]]</f>
        <v>3</v>
      </c>
      <c r="X202" s="5">
        <f>FLOOR(Top_500_Movies_Ranked_by_Combined_Critics_and_Audience_Scores[[#This Row],[Year]],10)</f>
        <v>1960</v>
      </c>
    </row>
    <row r="203" spans="1:24" x14ac:dyDescent="0.2">
      <c r="A203" s="3">
        <v>202</v>
      </c>
      <c r="B203" t="s">
        <v>2034</v>
      </c>
      <c r="C203" s="5">
        <v>1973</v>
      </c>
      <c r="D203" t="s">
        <v>2035</v>
      </c>
      <c r="E203" t="s">
        <v>2036</v>
      </c>
      <c r="F203" t="s">
        <v>30</v>
      </c>
      <c r="G203" t="s">
        <v>2039</v>
      </c>
      <c r="H203" t="s">
        <v>85</v>
      </c>
      <c r="I203" s="5">
        <v>83</v>
      </c>
      <c r="J203" s="4">
        <v>8.3000000000000007</v>
      </c>
      <c r="K203" s="5">
        <v>83</v>
      </c>
      <c r="L203" s="5">
        <v>288739</v>
      </c>
      <c r="M203" s="5">
        <v>83</v>
      </c>
      <c r="N203" s="5">
        <v>84</v>
      </c>
      <c r="O203" s="5">
        <v>69</v>
      </c>
      <c r="P203" s="5">
        <v>91</v>
      </c>
      <c r="Q203" s="5">
        <v>88454</v>
      </c>
      <c r="R203" s="5">
        <v>84</v>
      </c>
      <c r="S203" s="5">
        <v>141404</v>
      </c>
      <c r="T203" s="5">
        <v>80</v>
      </c>
      <c r="U203" t="s">
        <v>75</v>
      </c>
      <c r="V203" s="2">
        <v>84.17</v>
      </c>
      <c r="W203" s="5">
        <f>Top_500_Movies_Ranked_by_Combined_Critics_and_Audience_Scores[[#This Row],[Critic_Rating_RT]]-Top_500_Movies_Ranked_by_Combined_Critics_and_Audience_Scores[[#This Row],[Audience_Rating]]</f>
        <v>-7</v>
      </c>
      <c r="X203" s="5">
        <f>FLOOR(Top_500_Movies_Ranked_by_Combined_Critics_and_Audience_Scores[[#This Row],[Year]],10)</f>
        <v>1970</v>
      </c>
    </row>
    <row r="204" spans="1:24" x14ac:dyDescent="0.2">
      <c r="A204" s="3">
        <v>203</v>
      </c>
      <c r="B204" t="s">
        <v>2044</v>
      </c>
      <c r="C204" s="5">
        <v>1930</v>
      </c>
      <c r="D204" t="s">
        <v>267</v>
      </c>
      <c r="E204" t="s">
        <v>2045</v>
      </c>
      <c r="F204" t="s">
        <v>30</v>
      </c>
      <c r="G204" t="s">
        <v>2048</v>
      </c>
      <c r="H204" t="s">
        <v>85</v>
      </c>
      <c r="I204" s="5">
        <v>84</v>
      </c>
      <c r="J204" s="4">
        <v>8.1</v>
      </c>
      <c r="K204" s="5">
        <v>81</v>
      </c>
      <c r="L204" s="5">
        <v>69684</v>
      </c>
      <c r="M204" s="5">
        <v>91</v>
      </c>
      <c r="N204" s="5">
        <v>92</v>
      </c>
      <c r="O204" s="5">
        <v>56</v>
      </c>
      <c r="P204" s="5">
        <v>86</v>
      </c>
      <c r="Q204" s="5">
        <v>29586</v>
      </c>
      <c r="R204" s="5">
        <v>84</v>
      </c>
      <c r="S204" s="5">
        <v>52395</v>
      </c>
      <c r="T204" s="5">
        <v>70</v>
      </c>
      <c r="U204" t="s">
        <v>75</v>
      </c>
      <c r="V204" s="2">
        <v>84</v>
      </c>
      <c r="W204" s="5">
        <f>Top_500_Movies_Ranked_by_Combined_Critics_and_Audience_Scores[[#This Row],[Critic_Rating_RT]]-Top_500_Movies_Ranked_by_Combined_Critics_and_Audience_Scores[[#This Row],[Audience_Rating]]</f>
        <v>6</v>
      </c>
      <c r="X204" s="5">
        <f>FLOOR(Top_500_Movies_Ranked_by_Combined_Critics_and_Audience_Scores[[#This Row],[Year]],10)</f>
        <v>1930</v>
      </c>
    </row>
    <row r="205" spans="1:24" x14ac:dyDescent="0.2">
      <c r="A205" s="3">
        <v>204</v>
      </c>
      <c r="B205" t="s">
        <v>2054</v>
      </c>
      <c r="C205" s="5">
        <v>2024</v>
      </c>
      <c r="D205" t="s">
        <v>65</v>
      </c>
      <c r="E205" t="s">
        <v>2055</v>
      </c>
      <c r="F205" t="s">
        <v>30</v>
      </c>
      <c r="G205" t="s">
        <v>4317</v>
      </c>
      <c r="H205" t="s">
        <v>4317</v>
      </c>
      <c r="I205" s="5">
        <v>84</v>
      </c>
      <c r="J205" s="4">
        <v>7.5</v>
      </c>
      <c r="K205" s="5">
        <v>75</v>
      </c>
      <c r="L205" s="5">
        <v>68946</v>
      </c>
      <c r="M205" s="5">
        <v>90</v>
      </c>
      <c r="N205" s="5">
        <v>88</v>
      </c>
      <c r="O205" s="5">
        <v>175</v>
      </c>
      <c r="R205" s="5">
        <v>80</v>
      </c>
      <c r="S205" s="5">
        <v>544891</v>
      </c>
      <c r="T205" s="5">
        <v>87</v>
      </c>
      <c r="U205" t="s">
        <v>1350</v>
      </c>
      <c r="V205" s="2">
        <v>84</v>
      </c>
      <c r="W205" s="5">
        <f>Top_500_Movies_Ranked_by_Combined_Critics_and_Audience_Scores[[#This Row],[Critic_Rating_RT]]-Top_500_Movies_Ranked_by_Combined_Critics_and_Audience_Scores[[#This Row],[Audience_Rating]]</f>
        <v>88</v>
      </c>
      <c r="X205" s="5">
        <f>FLOOR(Top_500_Movies_Ranked_by_Combined_Critics_and_Audience_Scores[[#This Row],[Year]],10)</f>
        <v>2020</v>
      </c>
    </row>
    <row r="206" spans="1:24" x14ac:dyDescent="0.2">
      <c r="A206" s="3">
        <v>205</v>
      </c>
      <c r="B206" t="s">
        <v>2061</v>
      </c>
      <c r="C206" s="5">
        <v>2013</v>
      </c>
      <c r="D206" t="s">
        <v>2062</v>
      </c>
      <c r="E206" t="s">
        <v>2063</v>
      </c>
      <c r="F206" t="s">
        <v>30</v>
      </c>
      <c r="G206" t="s">
        <v>2066</v>
      </c>
      <c r="H206" t="s">
        <v>216</v>
      </c>
      <c r="I206" s="5">
        <v>84</v>
      </c>
      <c r="J206" s="4">
        <v>8</v>
      </c>
      <c r="K206" s="5">
        <v>80</v>
      </c>
      <c r="L206" s="5">
        <v>698369</v>
      </c>
      <c r="M206" s="5">
        <v>91</v>
      </c>
      <c r="N206" s="5">
        <v>87</v>
      </c>
      <c r="O206" s="5">
        <v>247</v>
      </c>
      <c r="P206" s="5">
        <v>81</v>
      </c>
      <c r="Q206" s="5">
        <v>634081</v>
      </c>
      <c r="R206" s="5">
        <v>80</v>
      </c>
      <c r="S206" s="5">
        <v>1696987</v>
      </c>
      <c r="T206" s="5">
        <v>85</v>
      </c>
      <c r="U206" t="s">
        <v>253</v>
      </c>
      <c r="V206" s="2">
        <v>84</v>
      </c>
      <c r="W206" s="5">
        <f>Top_500_Movies_Ranked_by_Combined_Critics_and_Audience_Scores[[#This Row],[Critic_Rating_RT]]-Top_500_Movies_Ranked_by_Combined_Critics_and_Audience_Scores[[#This Row],[Audience_Rating]]</f>
        <v>6</v>
      </c>
      <c r="X206" s="5">
        <f>FLOOR(Top_500_Movies_Ranked_by_Combined_Critics_and_Audience_Scores[[#This Row],[Year]],10)</f>
        <v>2010</v>
      </c>
    </row>
    <row r="207" spans="1:24" x14ac:dyDescent="0.2">
      <c r="A207" s="3">
        <v>206</v>
      </c>
      <c r="B207" t="s">
        <v>2071</v>
      </c>
      <c r="C207" s="5">
        <v>2009</v>
      </c>
      <c r="D207" t="s">
        <v>2072</v>
      </c>
      <c r="E207" t="s">
        <v>4325</v>
      </c>
      <c r="F207" t="s">
        <v>492</v>
      </c>
      <c r="G207" t="s">
        <v>2076</v>
      </c>
      <c r="H207" t="s">
        <v>335</v>
      </c>
      <c r="I207" s="5">
        <v>83</v>
      </c>
      <c r="J207" s="4">
        <v>8.1999999999999993</v>
      </c>
      <c r="K207" s="5">
        <v>82</v>
      </c>
      <c r="L207" s="5">
        <v>231256</v>
      </c>
      <c r="M207" s="5">
        <v>80</v>
      </c>
      <c r="N207" s="5">
        <v>78</v>
      </c>
      <c r="O207" s="5">
        <v>110</v>
      </c>
      <c r="P207" s="5">
        <v>89</v>
      </c>
      <c r="Q207" s="5">
        <v>60610</v>
      </c>
      <c r="R207" s="5">
        <v>84</v>
      </c>
      <c r="S207" s="5">
        <v>124396</v>
      </c>
      <c r="T207" s="5">
        <v>91</v>
      </c>
      <c r="U207" t="s">
        <v>75</v>
      </c>
      <c r="V207" s="2">
        <v>84</v>
      </c>
      <c r="W207" s="5">
        <f>Top_500_Movies_Ranked_by_Combined_Critics_and_Audience_Scores[[#This Row],[Critic_Rating_RT]]-Top_500_Movies_Ranked_by_Combined_Critics_and_Audience_Scores[[#This Row],[Audience_Rating]]</f>
        <v>-11</v>
      </c>
      <c r="X207" s="5">
        <f>FLOOR(Top_500_Movies_Ranked_by_Combined_Critics_and_Audience_Scores[[#This Row],[Year]],10)</f>
        <v>2000</v>
      </c>
    </row>
    <row r="208" spans="1:24" x14ac:dyDescent="0.2">
      <c r="A208" s="3">
        <v>207</v>
      </c>
      <c r="B208" t="s">
        <v>2081</v>
      </c>
      <c r="C208" s="5">
        <v>1980</v>
      </c>
      <c r="D208" t="s">
        <v>519</v>
      </c>
      <c r="E208" t="s">
        <v>1664</v>
      </c>
      <c r="F208" t="s">
        <v>30</v>
      </c>
      <c r="G208" t="s">
        <v>2084</v>
      </c>
      <c r="H208" t="s">
        <v>2085</v>
      </c>
      <c r="I208" s="5">
        <v>83</v>
      </c>
      <c r="J208" s="4">
        <v>8.1999999999999993</v>
      </c>
      <c r="K208" s="5">
        <v>82</v>
      </c>
      <c r="L208" s="5">
        <v>271067</v>
      </c>
      <c r="M208" s="5">
        <v>78</v>
      </c>
      <c r="N208" s="5">
        <v>83</v>
      </c>
      <c r="O208" s="5">
        <v>62</v>
      </c>
      <c r="P208" s="5">
        <v>89</v>
      </c>
      <c r="Q208" s="5">
        <v>138788</v>
      </c>
      <c r="R208" s="5">
        <v>86</v>
      </c>
      <c r="S208" s="5">
        <v>286846</v>
      </c>
      <c r="T208" s="5">
        <v>86</v>
      </c>
      <c r="U208" t="s">
        <v>617</v>
      </c>
      <c r="V208" s="2">
        <v>84</v>
      </c>
      <c r="W208" s="5">
        <f>Top_500_Movies_Ranked_by_Combined_Critics_and_Audience_Scores[[#This Row],[Critic_Rating_RT]]-Top_500_Movies_Ranked_by_Combined_Critics_and_Audience_Scores[[#This Row],[Audience_Rating]]</f>
        <v>-6</v>
      </c>
      <c r="X208" s="5">
        <f>FLOOR(Top_500_Movies_Ranked_by_Combined_Critics_and_Audience_Scores[[#This Row],[Year]],10)</f>
        <v>1980</v>
      </c>
    </row>
    <row r="209" spans="1:24" x14ac:dyDescent="0.2">
      <c r="A209" s="3">
        <v>208</v>
      </c>
      <c r="B209" t="s">
        <v>2090</v>
      </c>
      <c r="C209" s="5">
        <v>1992</v>
      </c>
      <c r="D209" t="s">
        <v>2091</v>
      </c>
      <c r="E209" t="s">
        <v>2092</v>
      </c>
      <c r="F209" t="s">
        <v>30</v>
      </c>
      <c r="G209" t="s">
        <v>2095</v>
      </c>
      <c r="H209" t="s">
        <v>2096</v>
      </c>
      <c r="I209" s="5">
        <v>83</v>
      </c>
      <c r="J209" s="4">
        <v>8</v>
      </c>
      <c r="K209" s="5">
        <v>80</v>
      </c>
      <c r="L209" s="5">
        <v>484201</v>
      </c>
      <c r="M209" s="5">
        <v>86</v>
      </c>
      <c r="N209" s="5">
        <v>85</v>
      </c>
      <c r="O209" s="5">
        <v>78</v>
      </c>
      <c r="P209" s="5">
        <v>88</v>
      </c>
      <c r="Q209" s="5">
        <v>875875</v>
      </c>
      <c r="R209" s="5">
        <v>78</v>
      </c>
      <c r="S209" s="5">
        <v>746788</v>
      </c>
      <c r="T209" s="5">
        <v>87</v>
      </c>
      <c r="U209" t="s">
        <v>2099</v>
      </c>
      <c r="V209" s="2">
        <v>84</v>
      </c>
      <c r="W209" s="5">
        <f>Top_500_Movies_Ranked_by_Combined_Critics_and_Audience_Scores[[#This Row],[Critic_Rating_RT]]-Top_500_Movies_Ranked_by_Combined_Critics_and_Audience_Scores[[#This Row],[Audience_Rating]]</f>
        <v>-3</v>
      </c>
      <c r="X209" s="5">
        <f>FLOOR(Top_500_Movies_Ranked_by_Combined_Critics_and_Audience_Scores[[#This Row],[Year]],10)</f>
        <v>1990</v>
      </c>
    </row>
    <row r="210" spans="1:24" x14ac:dyDescent="0.2">
      <c r="A210" s="3">
        <v>209</v>
      </c>
      <c r="B210" t="s">
        <v>2102</v>
      </c>
      <c r="C210" s="5">
        <v>2019</v>
      </c>
      <c r="D210" t="s">
        <v>2103</v>
      </c>
      <c r="E210" t="s">
        <v>2104</v>
      </c>
      <c r="F210" t="s">
        <v>30</v>
      </c>
      <c r="G210" t="s">
        <v>4317</v>
      </c>
      <c r="H210" t="s">
        <v>4317</v>
      </c>
      <c r="I210" s="5">
        <v>82</v>
      </c>
      <c r="J210" s="4">
        <v>8.1</v>
      </c>
      <c r="K210" s="5">
        <v>81</v>
      </c>
      <c r="L210" s="5">
        <v>516895</v>
      </c>
      <c r="M210" s="5">
        <v>81</v>
      </c>
      <c r="N210" s="5">
        <v>79</v>
      </c>
      <c r="O210" s="5">
        <v>217</v>
      </c>
      <c r="P210" s="5">
        <v>93</v>
      </c>
      <c r="Q210" s="5">
        <v>266066</v>
      </c>
      <c r="R210" s="5">
        <v>80</v>
      </c>
      <c r="S210" s="5">
        <v>722735</v>
      </c>
      <c r="T210" s="5">
        <v>90</v>
      </c>
      <c r="U210" t="s">
        <v>253</v>
      </c>
      <c r="V210" s="2">
        <v>84</v>
      </c>
      <c r="W210" s="5">
        <f>Top_500_Movies_Ranked_by_Combined_Critics_and_Audience_Scores[[#This Row],[Critic_Rating_RT]]-Top_500_Movies_Ranked_by_Combined_Critics_and_Audience_Scores[[#This Row],[Audience_Rating]]</f>
        <v>-14</v>
      </c>
      <c r="X210" s="5">
        <f>FLOOR(Top_500_Movies_Ranked_by_Combined_Critics_and_Audience_Scores[[#This Row],[Year]],10)</f>
        <v>2010</v>
      </c>
    </row>
    <row r="211" spans="1:24" x14ac:dyDescent="0.2">
      <c r="A211" s="3">
        <v>210</v>
      </c>
      <c r="B211" t="s">
        <v>2111</v>
      </c>
      <c r="C211" s="5">
        <v>2017</v>
      </c>
      <c r="D211" t="s">
        <v>593</v>
      </c>
      <c r="E211" t="s">
        <v>2112</v>
      </c>
      <c r="F211" t="s">
        <v>30</v>
      </c>
      <c r="G211" t="s">
        <v>4317</v>
      </c>
      <c r="H211" t="s">
        <v>4317</v>
      </c>
      <c r="I211" s="5">
        <v>84</v>
      </c>
      <c r="J211" s="4">
        <v>8.1</v>
      </c>
      <c r="K211" s="5">
        <v>81</v>
      </c>
      <c r="L211" s="5">
        <v>579561</v>
      </c>
      <c r="M211" s="5">
        <v>88</v>
      </c>
      <c r="N211" s="5">
        <v>85</v>
      </c>
      <c r="O211" s="5">
        <v>282</v>
      </c>
      <c r="P211" s="5">
        <v>85</v>
      </c>
      <c r="Q211" s="5">
        <v>246227</v>
      </c>
      <c r="R211" s="5">
        <v>80</v>
      </c>
      <c r="S211" s="5">
        <v>690960</v>
      </c>
      <c r="T211" s="5">
        <v>85</v>
      </c>
      <c r="U211" t="s">
        <v>75</v>
      </c>
      <c r="V211" s="2">
        <v>84</v>
      </c>
      <c r="W211" s="5">
        <f>Top_500_Movies_Ranked_by_Combined_Critics_and_Audience_Scores[[#This Row],[Critic_Rating_RT]]-Top_500_Movies_Ranked_by_Combined_Critics_and_Audience_Scores[[#This Row],[Audience_Rating]]</f>
        <v>0</v>
      </c>
      <c r="X211" s="5">
        <f>FLOOR(Top_500_Movies_Ranked_by_Combined_Critics_and_Audience_Scores[[#This Row],[Year]],10)</f>
        <v>2010</v>
      </c>
    </row>
    <row r="212" spans="1:24" x14ac:dyDescent="0.2">
      <c r="A212" s="3">
        <v>211</v>
      </c>
      <c r="B212" t="s">
        <v>2119</v>
      </c>
      <c r="C212" s="5">
        <v>1978</v>
      </c>
      <c r="D212" t="s">
        <v>1731</v>
      </c>
      <c r="E212" t="s">
        <v>2120</v>
      </c>
      <c r="F212" t="s">
        <v>30</v>
      </c>
      <c r="G212" t="s">
        <v>2123</v>
      </c>
      <c r="H212" t="s">
        <v>2124</v>
      </c>
      <c r="I212" s="5">
        <v>84</v>
      </c>
      <c r="J212" s="4">
        <v>7.7</v>
      </c>
      <c r="K212" s="5">
        <v>77</v>
      </c>
      <c r="L212" s="5">
        <v>321821</v>
      </c>
      <c r="M212" s="5">
        <v>90</v>
      </c>
      <c r="N212" s="5">
        <v>87</v>
      </c>
      <c r="O212" s="5">
        <v>102</v>
      </c>
      <c r="P212" s="5">
        <v>85</v>
      </c>
      <c r="Q212" s="5">
        <v>478658</v>
      </c>
      <c r="R212" s="5">
        <v>76</v>
      </c>
      <c r="S212" s="5">
        <v>826218</v>
      </c>
      <c r="T212" s="5">
        <v>89</v>
      </c>
      <c r="U212" t="s">
        <v>75</v>
      </c>
      <c r="V212" s="2">
        <v>84</v>
      </c>
      <c r="W212" s="5">
        <f>Top_500_Movies_Ranked_by_Combined_Critics_and_Audience_Scores[[#This Row],[Critic_Rating_RT]]-Top_500_Movies_Ranked_by_Combined_Critics_and_Audience_Scores[[#This Row],[Audience_Rating]]</f>
        <v>2</v>
      </c>
      <c r="X212" s="5">
        <f>FLOOR(Top_500_Movies_Ranked_by_Combined_Critics_and_Audience_Scores[[#This Row],[Year]],10)</f>
        <v>1970</v>
      </c>
    </row>
    <row r="213" spans="1:24" x14ac:dyDescent="0.2">
      <c r="A213" s="3">
        <v>212</v>
      </c>
      <c r="B213" t="s">
        <v>2129</v>
      </c>
      <c r="C213" s="5">
        <v>1971</v>
      </c>
      <c r="D213" t="s">
        <v>2130</v>
      </c>
      <c r="E213" t="s">
        <v>199</v>
      </c>
      <c r="F213" t="s">
        <v>30</v>
      </c>
      <c r="G213" t="s">
        <v>4317</v>
      </c>
      <c r="H213" t="s">
        <v>4317</v>
      </c>
      <c r="I213" s="5">
        <v>83</v>
      </c>
      <c r="J213" s="4">
        <v>8.1999999999999993</v>
      </c>
      <c r="K213" s="5">
        <v>82</v>
      </c>
      <c r="L213" s="5">
        <v>907799</v>
      </c>
      <c r="M213" s="5">
        <v>77</v>
      </c>
      <c r="N213" s="5">
        <v>85</v>
      </c>
      <c r="O213" s="5">
        <v>94</v>
      </c>
      <c r="P213" s="5">
        <v>90</v>
      </c>
      <c r="Q213" s="5">
        <v>649103</v>
      </c>
      <c r="R213" s="5">
        <v>82</v>
      </c>
      <c r="S213" s="5">
        <v>1071687</v>
      </c>
      <c r="T213" s="5">
        <v>87</v>
      </c>
      <c r="U213" t="s">
        <v>135</v>
      </c>
      <c r="V213" s="2">
        <v>83.83</v>
      </c>
      <c r="W213" s="5">
        <f>Top_500_Movies_Ranked_by_Combined_Critics_and_Audience_Scores[[#This Row],[Critic_Rating_RT]]-Top_500_Movies_Ranked_by_Combined_Critics_and_Audience_Scores[[#This Row],[Audience_Rating]]</f>
        <v>-5</v>
      </c>
      <c r="X213" s="5">
        <f>FLOOR(Top_500_Movies_Ranked_by_Combined_Critics_and_Audience_Scores[[#This Row],[Year]],10)</f>
        <v>1970</v>
      </c>
    </row>
    <row r="214" spans="1:24" x14ac:dyDescent="0.2">
      <c r="A214" s="3">
        <v>213</v>
      </c>
      <c r="B214" t="s">
        <v>2138</v>
      </c>
      <c r="C214" s="5">
        <v>1967</v>
      </c>
      <c r="D214" t="s">
        <v>2139</v>
      </c>
      <c r="E214" t="s">
        <v>2140</v>
      </c>
      <c r="F214" t="s">
        <v>30</v>
      </c>
      <c r="G214" t="s">
        <v>2143</v>
      </c>
      <c r="H214" t="s">
        <v>2144</v>
      </c>
      <c r="I214" s="5">
        <v>84</v>
      </c>
      <c r="J214" s="4">
        <v>8</v>
      </c>
      <c r="K214" s="5">
        <v>80</v>
      </c>
      <c r="L214" s="5">
        <v>295545</v>
      </c>
      <c r="M214" s="5">
        <v>83</v>
      </c>
      <c r="N214" s="5">
        <v>88</v>
      </c>
      <c r="O214" s="5">
        <v>76</v>
      </c>
      <c r="P214" s="5">
        <v>86</v>
      </c>
      <c r="Q214" s="5">
        <v>249780</v>
      </c>
      <c r="R214" s="5">
        <v>82</v>
      </c>
      <c r="S214" s="5">
        <v>381526</v>
      </c>
      <c r="T214" s="5">
        <v>84</v>
      </c>
      <c r="U214" t="s">
        <v>617</v>
      </c>
      <c r="V214" s="2">
        <v>83.83</v>
      </c>
      <c r="W214" s="5">
        <f>Top_500_Movies_Ranked_by_Combined_Critics_and_Audience_Scores[[#This Row],[Critic_Rating_RT]]-Top_500_Movies_Ranked_by_Combined_Critics_and_Audience_Scores[[#This Row],[Audience_Rating]]</f>
        <v>2</v>
      </c>
      <c r="X214" s="5">
        <f>FLOOR(Top_500_Movies_Ranked_by_Combined_Critics_and_Audience_Scores[[#This Row],[Year]],10)</f>
        <v>1960</v>
      </c>
    </row>
    <row r="215" spans="1:24" x14ac:dyDescent="0.2">
      <c r="A215" s="3">
        <v>214</v>
      </c>
      <c r="B215" t="s">
        <v>2149</v>
      </c>
      <c r="C215" s="5">
        <v>1987</v>
      </c>
      <c r="D215" t="s">
        <v>267</v>
      </c>
      <c r="E215" t="s">
        <v>199</v>
      </c>
      <c r="F215" t="s">
        <v>30</v>
      </c>
      <c r="G215" t="s">
        <v>2152</v>
      </c>
      <c r="H215" t="s">
        <v>178</v>
      </c>
      <c r="I215" s="5">
        <v>83</v>
      </c>
      <c r="J215" s="4">
        <v>8.1999999999999993</v>
      </c>
      <c r="K215" s="5">
        <v>82</v>
      </c>
      <c r="L215" s="5">
        <v>816985</v>
      </c>
      <c r="M215" s="5">
        <v>78</v>
      </c>
      <c r="N215" s="5">
        <v>82</v>
      </c>
      <c r="O215" s="5">
        <v>70</v>
      </c>
      <c r="P215" s="5">
        <v>90</v>
      </c>
      <c r="Q215" s="5">
        <v>461701</v>
      </c>
      <c r="R215" s="5">
        <v>84</v>
      </c>
      <c r="S215" s="5">
        <v>734317</v>
      </c>
      <c r="T215" s="5">
        <v>87</v>
      </c>
      <c r="U215" t="s">
        <v>135</v>
      </c>
      <c r="V215" s="2">
        <v>83.83</v>
      </c>
      <c r="W215" s="5">
        <f>Top_500_Movies_Ranked_by_Combined_Critics_and_Audience_Scores[[#This Row],[Critic_Rating_RT]]-Top_500_Movies_Ranked_by_Combined_Critics_and_Audience_Scores[[#This Row],[Audience_Rating]]</f>
        <v>-8</v>
      </c>
      <c r="X215" s="5">
        <f>FLOOR(Top_500_Movies_Ranked_by_Combined_Critics_and_Audience_Scores[[#This Row],[Year]],10)</f>
        <v>1980</v>
      </c>
    </row>
    <row r="216" spans="1:24" x14ac:dyDescent="0.2">
      <c r="A216" s="3">
        <v>215</v>
      </c>
      <c r="B216" t="s">
        <v>2157</v>
      </c>
      <c r="C216" s="5">
        <v>1997</v>
      </c>
      <c r="D216" t="s">
        <v>65</v>
      </c>
      <c r="E216" t="s">
        <v>2158</v>
      </c>
      <c r="F216" t="s">
        <v>30</v>
      </c>
      <c r="G216" t="s">
        <v>2161</v>
      </c>
      <c r="H216" t="s">
        <v>118</v>
      </c>
      <c r="I216" s="5">
        <v>83</v>
      </c>
      <c r="J216" s="4">
        <v>8.3000000000000007</v>
      </c>
      <c r="K216" s="5">
        <v>83</v>
      </c>
      <c r="L216" s="5">
        <v>1128522</v>
      </c>
      <c r="M216" s="5">
        <v>71</v>
      </c>
      <c r="N216" s="5">
        <v>79</v>
      </c>
      <c r="O216" s="5">
        <v>70</v>
      </c>
      <c r="P216" s="5">
        <v>91</v>
      </c>
      <c r="Q216" s="5">
        <v>846429</v>
      </c>
      <c r="R216" s="5">
        <v>86</v>
      </c>
      <c r="S216" s="5">
        <v>1807181</v>
      </c>
      <c r="T216" s="5">
        <v>93</v>
      </c>
      <c r="U216" t="s">
        <v>780</v>
      </c>
      <c r="V216" s="2">
        <v>83.83</v>
      </c>
      <c r="W216" s="5">
        <f>Top_500_Movies_Ranked_by_Combined_Critics_and_Audience_Scores[[#This Row],[Critic_Rating_RT]]-Top_500_Movies_Ranked_by_Combined_Critics_and_Audience_Scores[[#This Row],[Audience_Rating]]</f>
        <v>-12</v>
      </c>
      <c r="X216" s="5">
        <f>FLOOR(Top_500_Movies_Ranked_by_Combined_Critics_and_Audience_Scores[[#This Row],[Year]],10)</f>
        <v>1990</v>
      </c>
    </row>
    <row r="217" spans="1:24" x14ac:dyDescent="0.2">
      <c r="A217" s="3">
        <v>216</v>
      </c>
      <c r="B217" t="s">
        <v>2167</v>
      </c>
      <c r="C217" s="5">
        <v>2010</v>
      </c>
      <c r="D217" t="s">
        <v>2168</v>
      </c>
      <c r="E217" t="s">
        <v>1199</v>
      </c>
      <c r="F217" t="s">
        <v>30</v>
      </c>
      <c r="G217" t="s">
        <v>2171</v>
      </c>
      <c r="H217" t="s">
        <v>216</v>
      </c>
      <c r="I217" s="5">
        <v>83</v>
      </c>
      <c r="J217" s="4">
        <v>8.8000000000000007</v>
      </c>
      <c r="K217" s="5">
        <v>88</v>
      </c>
      <c r="L217" s="5">
        <v>2666368</v>
      </c>
      <c r="M217" s="5">
        <v>74</v>
      </c>
      <c r="N217" s="5">
        <v>80</v>
      </c>
      <c r="O217" s="5">
        <v>241</v>
      </c>
      <c r="P217" s="5">
        <v>89</v>
      </c>
      <c r="Q217" s="5">
        <v>1315019</v>
      </c>
      <c r="R217" s="5">
        <v>84</v>
      </c>
      <c r="S217" s="5">
        <v>2796491</v>
      </c>
      <c r="T217" s="5">
        <v>88</v>
      </c>
      <c r="U217" t="s">
        <v>135</v>
      </c>
      <c r="V217" s="2">
        <v>83.83</v>
      </c>
      <c r="W217" s="5">
        <f>Top_500_Movies_Ranked_by_Combined_Critics_and_Audience_Scores[[#This Row],[Critic_Rating_RT]]-Top_500_Movies_Ranked_by_Combined_Critics_and_Audience_Scores[[#This Row],[Audience_Rating]]</f>
        <v>-9</v>
      </c>
      <c r="X217" s="5">
        <f>FLOOR(Top_500_Movies_Ranked_by_Combined_Critics_and_Audience_Scores[[#This Row],[Year]],10)</f>
        <v>2010</v>
      </c>
    </row>
    <row r="218" spans="1:24" x14ac:dyDescent="0.2">
      <c r="A218" s="3">
        <v>217</v>
      </c>
      <c r="B218" t="s">
        <v>2175</v>
      </c>
      <c r="C218" s="5">
        <v>1960</v>
      </c>
      <c r="D218" t="s">
        <v>1276</v>
      </c>
      <c r="E218" t="s">
        <v>2176</v>
      </c>
      <c r="F218" t="s">
        <v>321</v>
      </c>
      <c r="G218" t="s">
        <v>4317</v>
      </c>
      <c r="H218" t="s">
        <v>70</v>
      </c>
      <c r="I218" s="5">
        <v>83</v>
      </c>
      <c r="J218" s="4">
        <v>7.6</v>
      </c>
      <c r="K218" s="5">
        <v>76</v>
      </c>
      <c r="L218" s="5">
        <v>37018</v>
      </c>
      <c r="M218" s="5">
        <v>90</v>
      </c>
      <c r="N218" s="5">
        <v>85</v>
      </c>
      <c r="O218" s="5">
        <v>52</v>
      </c>
      <c r="P218" s="5">
        <v>84</v>
      </c>
      <c r="Q218" s="5">
        <v>47152</v>
      </c>
      <c r="R218" s="5">
        <v>78</v>
      </c>
      <c r="S218" s="5">
        <v>122339</v>
      </c>
      <c r="T218" s="5">
        <v>90</v>
      </c>
      <c r="U218" t="s">
        <v>135</v>
      </c>
      <c r="V218" s="2">
        <v>83.83</v>
      </c>
      <c r="W218" s="5">
        <f>Top_500_Movies_Ranked_by_Combined_Critics_and_Audience_Scores[[#This Row],[Critic_Rating_RT]]-Top_500_Movies_Ranked_by_Combined_Critics_and_Audience_Scores[[#This Row],[Audience_Rating]]</f>
        <v>1</v>
      </c>
      <c r="X218" s="5">
        <f>FLOOR(Top_500_Movies_Ranked_by_Combined_Critics_and_Audience_Scores[[#This Row],[Year]],10)</f>
        <v>1960</v>
      </c>
    </row>
    <row r="219" spans="1:24" x14ac:dyDescent="0.2">
      <c r="A219" s="3">
        <v>218</v>
      </c>
      <c r="B219" t="s">
        <v>2183</v>
      </c>
      <c r="C219" s="5">
        <v>1933</v>
      </c>
      <c r="D219" t="s">
        <v>2184</v>
      </c>
      <c r="E219" t="s">
        <v>2185</v>
      </c>
      <c r="F219" t="s">
        <v>30</v>
      </c>
      <c r="G219" t="s">
        <v>2188</v>
      </c>
      <c r="H219" t="s">
        <v>2189</v>
      </c>
      <c r="I219" s="5">
        <v>84</v>
      </c>
      <c r="J219" s="4">
        <v>7.9</v>
      </c>
      <c r="K219" s="5">
        <v>79</v>
      </c>
      <c r="L219" s="5">
        <v>93320</v>
      </c>
      <c r="M219" s="5">
        <v>92</v>
      </c>
      <c r="N219" s="5">
        <v>91</v>
      </c>
      <c r="O219" s="5">
        <v>87</v>
      </c>
      <c r="P219" s="5">
        <v>83</v>
      </c>
      <c r="Q219" s="5">
        <v>91336</v>
      </c>
      <c r="R219" s="5">
        <v>76</v>
      </c>
      <c r="S219" s="5">
        <v>93284</v>
      </c>
      <c r="T219" s="5">
        <v>82</v>
      </c>
      <c r="U219" t="s">
        <v>135</v>
      </c>
      <c r="V219" s="2">
        <v>83.83</v>
      </c>
      <c r="W219" s="5">
        <f>Top_500_Movies_Ranked_by_Combined_Critics_and_Audience_Scores[[#This Row],[Critic_Rating_RT]]-Top_500_Movies_Ranked_by_Combined_Critics_and_Audience_Scores[[#This Row],[Audience_Rating]]</f>
        <v>8</v>
      </c>
      <c r="X219" s="5">
        <f>FLOOR(Top_500_Movies_Ranked_by_Combined_Critics_and_Audience_Scores[[#This Row],[Year]],10)</f>
        <v>1930</v>
      </c>
    </row>
    <row r="220" spans="1:24" x14ac:dyDescent="0.2">
      <c r="A220" s="3">
        <v>219</v>
      </c>
      <c r="B220" t="s">
        <v>2194</v>
      </c>
      <c r="C220" s="5">
        <v>2023</v>
      </c>
      <c r="D220" t="s">
        <v>2195</v>
      </c>
      <c r="E220" t="s">
        <v>141</v>
      </c>
      <c r="F220" t="s">
        <v>50</v>
      </c>
      <c r="G220" t="s">
        <v>4317</v>
      </c>
      <c r="H220" t="s">
        <v>4317</v>
      </c>
      <c r="I220" s="5">
        <v>83</v>
      </c>
      <c r="J220" s="4">
        <v>7.4</v>
      </c>
      <c r="K220" s="5">
        <v>74</v>
      </c>
      <c r="L220" s="5">
        <v>91799</v>
      </c>
      <c r="M220" s="5">
        <v>91</v>
      </c>
      <c r="N220" s="5">
        <v>87</v>
      </c>
      <c r="O220" s="5">
        <v>151</v>
      </c>
      <c r="Q220" s="5">
        <v>310942</v>
      </c>
      <c r="R220" s="5">
        <v>78</v>
      </c>
      <c r="S220" s="5">
        <v>925249</v>
      </c>
      <c r="T220" s="5">
        <v>89</v>
      </c>
      <c r="U220" t="s">
        <v>4317</v>
      </c>
      <c r="V220" s="2">
        <v>83.8</v>
      </c>
      <c r="W220" s="5">
        <f>Top_500_Movies_Ranked_by_Combined_Critics_and_Audience_Scores[[#This Row],[Critic_Rating_RT]]-Top_500_Movies_Ranked_by_Combined_Critics_and_Audience_Scores[[#This Row],[Audience_Rating]]</f>
        <v>87</v>
      </c>
      <c r="X220" s="5">
        <f>FLOOR(Top_500_Movies_Ranked_by_Combined_Critics_and_Audience_Scores[[#This Row],[Year]],10)</f>
        <v>2020</v>
      </c>
    </row>
    <row r="221" spans="1:24" x14ac:dyDescent="0.2">
      <c r="A221" s="3">
        <v>220</v>
      </c>
      <c r="B221" t="s">
        <v>2203</v>
      </c>
      <c r="C221" s="5">
        <v>2023</v>
      </c>
      <c r="D221" t="s">
        <v>992</v>
      </c>
      <c r="E221" t="s">
        <v>2204</v>
      </c>
      <c r="F221" t="s">
        <v>30</v>
      </c>
      <c r="G221" t="s">
        <v>4317</v>
      </c>
      <c r="H221" t="s">
        <v>4317</v>
      </c>
      <c r="I221" s="5">
        <v>84</v>
      </c>
      <c r="J221" s="4">
        <v>7.9</v>
      </c>
      <c r="K221" s="5">
        <v>79</v>
      </c>
      <c r="L221" s="5">
        <v>196289</v>
      </c>
      <c r="M221" s="5">
        <v>82</v>
      </c>
      <c r="N221" s="5">
        <v>85</v>
      </c>
      <c r="O221" s="5">
        <v>204</v>
      </c>
      <c r="Q221" s="5">
        <v>387674</v>
      </c>
      <c r="R221" s="5">
        <v>84</v>
      </c>
      <c r="S221" s="5">
        <v>1152636</v>
      </c>
      <c r="T221" s="5">
        <v>89</v>
      </c>
      <c r="U221" t="s">
        <v>4317</v>
      </c>
      <c r="V221" s="2">
        <v>83.8</v>
      </c>
      <c r="W221" s="5">
        <f>Top_500_Movies_Ranked_by_Combined_Critics_and_Audience_Scores[[#This Row],[Critic_Rating_RT]]-Top_500_Movies_Ranked_by_Combined_Critics_and_Audience_Scores[[#This Row],[Audience_Rating]]</f>
        <v>85</v>
      </c>
      <c r="X221" s="5">
        <f>FLOOR(Top_500_Movies_Ranked_by_Combined_Critics_and_Audience_Scores[[#This Row],[Year]],10)</f>
        <v>2020</v>
      </c>
    </row>
    <row r="222" spans="1:24" x14ac:dyDescent="0.2">
      <c r="A222" s="3">
        <v>221</v>
      </c>
      <c r="B222" t="s">
        <v>2211</v>
      </c>
      <c r="C222" s="5">
        <v>2025</v>
      </c>
      <c r="D222" t="s">
        <v>1731</v>
      </c>
      <c r="E222" t="s">
        <v>2212</v>
      </c>
      <c r="F222" t="s">
        <v>30</v>
      </c>
      <c r="G222" t="s">
        <v>4317</v>
      </c>
      <c r="H222" t="s">
        <v>4317</v>
      </c>
      <c r="I222" s="5">
        <v>84</v>
      </c>
      <c r="J222" s="4">
        <v>8.1</v>
      </c>
      <c r="K222" s="5">
        <v>81</v>
      </c>
      <c r="L222" s="5">
        <v>92445</v>
      </c>
      <c r="M222" s="5">
        <v>84</v>
      </c>
      <c r="N222" s="5">
        <v>86</v>
      </c>
      <c r="O222" s="5">
        <v>195</v>
      </c>
      <c r="R222" s="5">
        <v>84</v>
      </c>
      <c r="S222" s="5">
        <v>1063065</v>
      </c>
      <c r="U222" t="s">
        <v>2216</v>
      </c>
      <c r="V222" s="2">
        <v>83.75</v>
      </c>
      <c r="W222" s="5">
        <f>Top_500_Movies_Ranked_by_Combined_Critics_and_Audience_Scores[[#This Row],[Critic_Rating_RT]]-Top_500_Movies_Ranked_by_Combined_Critics_and_Audience_Scores[[#This Row],[Audience_Rating]]</f>
        <v>86</v>
      </c>
      <c r="X222" s="5">
        <f>FLOOR(Top_500_Movies_Ranked_by_Combined_Critics_and_Audience_Scores[[#This Row],[Year]],10)</f>
        <v>2020</v>
      </c>
    </row>
    <row r="223" spans="1:24" x14ac:dyDescent="0.2">
      <c r="A223" s="3">
        <v>222</v>
      </c>
      <c r="B223" t="s">
        <v>2220</v>
      </c>
      <c r="C223" s="5">
        <v>2011</v>
      </c>
      <c r="D223" t="s">
        <v>2221</v>
      </c>
      <c r="E223" t="s">
        <v>2222</v>
      </c>
      <c r="F223" t="s">
        <v>30</v>
      </c>
      <c r="G223" t="s">
        <v>2225</v>
      </c>
      <c r="H223" t="s">
        <v>216</v>
      </c>
      <c r="I223" s="5">
        <v>83</v>
      </c>
      <c r="J223" s="4">
        <v>8.1</v>
      </c>
      <c r="K223" s="5">
        <v>81</v>
      </c>
      <c r="L223" s="5">
        <v>990703</v>
      </c>
      <c r="M223" s="5">
        <v>85</v>
      </c>
      <c r="N223" s="5">
        <v>84</v>
      </c>
      <c r="O223" s="5">
        <v>187</v>
      </c>
      <c r="P223" s="5">
        <v>87</v>
      </c>
      <c r="Q223" s="5">
        <v>739552</v>
      </c>
      <c r="R223" s="5">
        <v>80</v>
      </c>
      <c r="S223" s="5">
        <v>1431230</v>
      </c>
      <c r="T223" s="5">
        <v>85</v>
      </c>
      <c r="U223" t="s">
        <v>2228</v>
      </c>
      <c r="V223" s="2">
        <v>83.67</v>
      </c>
      <c r="W223" s="5">
        <f>Top_500_Movies_Ranked_by_Combined_Critics_and_Audience_Scores[[#This Row],[Critic_Rating_RT]]-Top_500_Movies_Ranked_by_Combined_Critics_and_Audience_Scores[[#This Row],[Audience_Rating]]</f>
        <v>-3</v>
      </c>
      <c r="X223" s="5">
        <f>FLOOR(Top_500_Movies_Ranked_by_Combined_Critics_and_Audience_Scores[[#This Row],[Year]],10)</f>
        <v>2010</v>
      </c>
    </row>
    <row r="224" spans="1:24" x14ac:dyDescent="0.2">
      <c r="A224" s="3">
        <v>223</v>
      </c>
      <c r="B224" t="s">
        <v>2232</v>
      </c>
      <c r="C224" s="5">
        <v>1997</v>
      </c>
      <c r="D224" t="s">
        <v>65</v>
      </c>
      <c r="E224" t="s">
        <v>342</v>
      </c>
      <c r="F224" t="s">
        <v>30</v>
      </c>
      <c r="G224" t="s">
        <v>2235</v>
      </c>
      <c r="H224" t="s">
        <v>353</v>
      </c>
      <c r="I224" s="5">
        <v>83</v>
      </c>
      <c r="J224" s="4">
        <v>7.9</v>
      </c>
      <c r="K224" s="5">
        <v>79</v>
      </c>
      <c r="L224" s="5">
        <v>290090</v>
      </c>
      <c r="M224" s="5">
        <v>86</v>
      </c>
      <c r="N224" s="5">
        <v>82</v>
      </c>
      <c r="O224" s="5">
        <v>62</v>
      </c>
      <c r="P224" s="5">
        <v>85</v>
      </c>
      <c r="Q224" s="5">
        <v>274867</v>
      </c>
      <c r="R224" s="5">
        <v>84</v>
      </c>
      <c r="S224" s="5">
        <v>444602</v>
      </c>
      <c r="T224" s="5">
        <v>86</v>
      </c>
      <c r="U224" t="s">
        <v>325</v>
      </c>
      <c r="V224" s="2">
        <v>83.67</v>
      </c>
      <c r="W224" s="5">
        <f>Top_500_Movies_Ranked_by_Combined_Critics_and_Audience_Scores[[#This Row],[Critic_Rating_RT]]-Top_500_Movies_Ranked_by_Combined_Critics_and_Audience_Scores[[#This Row],[Audience_Rating]]</f>
        <v>-3</v>
      </c>
      <c r="X224" s="5">
        <f>FLOOR(Top_500_Movies_Ranked_by_Combined_Critics_and_Audience_Scores[[#This Row],[Year]],10)</f>
        <v>1990</v>
      </c>
    </row>
    <row r="225" spans="1:24" x14ac:dyDescent="0.2">
      <c r="A225" s="3">
        <v>224</v>
      </c>
      <c r="B225" t="s">
        <v>2240</v>
      </c>
      <c r="C225" s="5">
        <v>2008</v>
      </c>
      <c r="D225" t="s">
        <v>2241</v>
      </c>
      <c r="E225" t="s">
        <v>2242</v>
      </c>
      <c r="F225" t="s">
        <v>30</v>
      </c>
      <c r="G225" t="s">
        <v>2245</v>
      </c>
      <c r="H225" t="s">
        <v>2246</v>
      </c>
      <c r="I225" s="5">
        <v>84</v>
      </c>
      <c r="J225" s="4">
        <v>7.5</v>
      </c>
      <c r="K225" s="5">
        <v>75</v>
      </c>
      <c r="L225" s="5">
        <v>483381</v>
      </c>
      <c r="M225" s="5">
        <v>95</v>
      </c>
      <c r="N225" s="5">
        <v>88</v>
      </c>
      <c r="O225" s="5">
        <v>198</v>
      </c>
      <c r="P225" s="5">
        <v>81</v>
      </c>
      <c r="Q225" s="5">
        <v>147838</v>
      </c>
      <c r="R225" s="5">
        <v>76</v>
      </c>
      <c r="S225" s="5">
        <v>250506</v>
      </c>
      <c r="T225" s="5">
        <v>87</v>
      </c>
      <c r="U225" t="s">
        <v>253</v>
      </c>
      <c r="V225" s="2">
        <v>83.67</v>
      </c>
      <c r="W225" s="5">
        <f>Top_500_Movies_Ranked_by_Combined_Critics_and_Audience_Scores[[#This Row],[Critic_Rating_RT]]-Top_500_Movies_Ranked_by_Combined_Critics_and_Audience_Scores[[#This Row],[Audience_Rating]]</f>
        <v>7</v>
      </c>
      <c r="X225" s="5">
        <f>FLOOR(Top_500_Movies_Ranked_by_Combined_Critics_and_Audience_Scores[[#This Row],[Year]],10)</f>
        <v>2000</v>
      </c>
    </row>
    <row r="226" spans="1:24" x14ac:dyDescent="0.2">
      <c r="A226" s="3">
        <v>225</v>
      </c>
      <c r="B226" t="s">
        <v>2251</v>
      </c>
      <c r="C226" s="5">
        <v>1989</v>
      </c>
      <c r="D226" t="s">
        <v>65</v>
      </c>
      <c r="E226" t="s">
        <v>993</v>
      </c>
      <c r="F226" t="s">
        <v>30</v>
      </c>
      <c r="G226" t="s">
        <v>2254</v>
      </c>
      <c r="H226" t="s">
        <v>1668</v>
      </c>
      <c r="I226" s="5">
        <v>82</v>
      </c>
      <c r="J226" s="4">
        <v>8.1</v>
      </c>
      <c r="K226" s="5">
        <v>81</v>
      </c>
      <c r="L226" s="5">
        <v>585470</v>
      </c>
      <c r="M226" s="5">
        <v>79</v>
      </c>
      <c r="N226" s="5">
        <v>74</v>
      </c>
      <c r="O226" s="5">
        <v>51</v>
      </c>
      <c r="P226" s="5">
        <v>89</v>
      </c>
      <c r="Q226" s="5">
        <v>813805</v>
      </c>
      <c r="R226" s="5">
        <v>86</v>
      </c>
      <c r="S226" s="5">
        <v>1825679</v>
      </c>
      <c r="T226" s="5">
        <v>93</v>
      </c>
      <c r="U226" t="s">
        <v>75</v>
      </c>
      <c r="V226" s="2">
        <v>83.67</v>
      </c>
      <c r="W226" s="5">
        <f>Top_500_Movies_Ranked_by_Combined_Critics_and_Audience_Scores[[#This Row],[Critic_Rating_RT]]-Top_500_Movies_Ranked_by_Combined_Critics_and_Audience_Scores[[#This Row],[Audience_Rating]]</f>
        <v>-15</v>
      </c>
      <c r="X226" s="5">
        <f>FLOOR(Top_500_Movies_Ranked_by_Combined_Critics_and_Audience_Scores[[#This Row],[Year]],10)</f>
        <v>1980</v>
      </c>
    </row>
    <row r="227" spans="1:24" x14ac:dyDescent="0.2">
      <c r="A227" s="3">
        <v>226</v>
      </c>
      <c r="B227" t="s">
        <v>2259</v>
      </c>
      <c r="C227" s="5">
        <v>1993</v>
      </c>
      <c r="D227" t="s">
        <v>804</v>
      </c>
      <c r="E227" t="s">
        <v>2260</v>
      </c>
      <c r="F227" t="s">
        <v>30</v>
      </c>
      <c r="G227" t="s">
        <v>2263</v>
      </c>
      <c r="H227" t="s">
        <v>2264</v>
      </c>
      <c r="I227" s="5">
        <v>83</v>
      </c>
      <c r="J227" s="4">
        <v>7.9</v>
      </c>
      <c r="K227" s="5">
        <v>79</v>
      </c>
      <c r="L227" s="5">
        <v>393679</v>
      </c>
      <c r="M227" s="5">
        <v>82</v>
      </c>
      <c r="N227" s="5">
        <v>84</v>
      </c>
      <c r="O227" s="5">
        <v>91</v>
      </c>
      <c r="P227" s="5">
        <v>87</v>
      </c>
      <c r="Q227" s="5">
        <v>1008679</v>
      </c>
      <c r="R227" s="5">
        <v>80</v>
      </c>
      <c r="S227" s="5">
        <v>1265746</v>
      </c>
      <c r="T227" s="5">
        <v>90</v>
      </c>
      <c r="U227" t="s">
        <v>444</v>
      </c>
      <c r="V227" s="2">
        <v>83.67</v>
      </c>
      <c r="W227" s="5">
        <f>Top_500_Movies_Ranked_by_Combined_Critics_and_Audience_Scores[[#This Row],[Critic_Rating_RT]]-Top_500_Movies_Ranked_by_Combined_Critics_and_Audience_Scores[[#This Row],[Audience_Rating]]</f>
        <v>-3</v>
      </c>
      <c r="X227" s="5">
        <f>FLOOR(Top_500_Movies_Ranked_by_Combined_Critics_and_Audience_Scores[[#This Row],[Year]],10)</f>
        <v>1990</v>
      </c>
    </row>
    <row r="228" spans="1:24" x14ac:dyDescent="0.2">
      <c r="A228" s="3">
        <v>227</v>
      </c>
      <c r="B228" t="s">
        <v>2269</v>
      </c>
      <c r="C228" s="5">
        <v>2019</v>
      </c>
      <c r="D228" t="s">
        <v>2270</v>
      </c>
      <c r="E228" t="s">
        <v>2271</v>
      </c>
      <c r="F228" t="s">
        <v>30</v>
      </c>
      <c r="G228" t="s">
        <v>4317</v>
      </c>
      <c r="H228" t="s">
        <v>4317</v>
      </c>
      <c r="I228" s="5">
        <v>83</v>
      </c>
      <c r="J228" s="4">
        <v>8.4</v>
      </c>
      <c r="K228" s="5">
        <v>84</v>
      </c>
      <c r="L228" s="5">
        <v>1344334</v>
      </c>
      <c r="M228" s="5">
        <v>78</v>
      </c>
      <c r="N228" s="5">
        <v>81</v>
      </c>
      <c r="O228" s="5">
        <v>317</v>
      </c>
      <c r="P228" s="5">
        <v>88</v>
      </c>
      <c r="Q228" s="5">
        <v>856561</v>
      </c>
      <c r="R228" s="5">
        <v>78</v>
      </c>
      <c r="S228" s="5">
        <v>2410586</v>
      </c>
      <c r="T228" s="5">
        <v>93</v>
      </c>
      <c r="U228" t="s">
        <v>444</v>
      </c>
      <c r="V228" s="2">
        <v>83.67</v>
      </c>
      <c r="W228" s="5">
        <f>Top_500_Movies_Ranked_by_Combined_Critics_and_Audience_Scores[[#This Row],[Critic_Rating_RT]]-Top_500_Movies_Ranked_by_Combined_Critics_and_Audience_Scores[[#This Row],[Audience_Rating]]</f>
        <v>-7</v>
      </c>
      <c r="X228" s="5">
        <f>FLOOR(Top_500_Movies_Ranked_by_Combined_Critics_and_Audience_Scores[[#This Row],[Year]],10)</f>
        <v>2010</v>
      </c>
    </row>
    <row r="229" spans="1:24" x14ac:dyDescent="0.2">
      <c r="A229" s="3">
        <v>228</v>
      </c>
      <c r="B229" t="s">
        <v>2278</v>
      </c>
      <c r="C229" s="5">
        <v>2022</v>
      </c>
      <c r="D229" t="s">
        <v>2279</v>
      </c>
      <c r="E229" t="s">
        <v>2280</v>
      </c>
      <c r="F229" t="s">
        <v>2282</v>
      </c>
      <c r="G229" t="s">
        <v>4317</v>
      </c>
      <c r="H229" t="s">
        <v>4317</v>
      </c>
      <c r="I229" s="5">
        <v>84</v>
      </c>
      <c r="J229" s="4">
        <v>7.8</v>
      </c>
      <c r="K229" s="5">
        <v>78</v>
      </c>
      <c r="L229" s="5">
        <v>177734</v>
      </c>
      <c r="M229" s="5">
        <v>83</v>
      </c>
      <c r="N229" s="5">
        <v>83</v>
      </c>
      <c r="O229" s="5">
        <v>67</v>
      </c>
      <c r="Q229" s="5">
        <v>95355</v>
      </c>
      <c r="R229" s="5">
        <v>84</v>
      </c>
      <c r="S229" s="5">
        <v>279475</v>
      </c>
      <c r="T229" s="5">
        <v>90</v>
      </c>
      <c r="U229" t="s">
        <v>885</v>
      </c>
      <c r="V229" s="2">
        <v>83.6</v>
      </c>
      <c r="W229" s="5">
        <f>Top_500_Movies_Ranked_by_Combined_Critics_and_Audience_Scores[[#This Row],[Critic_Rating_RT]]-Top_500_Movies_Ranked_by_Combined_Critics_and_Audience_Scores[[#This Row],[Audience_Rating]]</f>
        <v>83</v>
      </c>
      <c r="X229" s="5">
        <f>FLOOR(Top_500_Movies_Ranked_by_Combined_Critics_and_Audience_Scores[[#This Row],[Year]],10)</f>
        <v>2020</v>
      </c>
    </row>
    <row r="230" spans="1:24" x14ac:dyDescent="0.2">
      <c r="A230" s="3">
        <v>229</v>
      </c>
      <c r="B230" t="s">
        <v>2289</v>
      </c>
      <c r="C230" s="5">
        <v>2021</v>
      </c>
      <c r="D230" t="s">
        <v>65</v>
      </c>
      <c r="E230" t="s">
        <v>4326</v>
      </c>
      <c r="F230" t="s">
        <v>50</v>
      </c>
      <c r="G230" t="s">
        <v>4317</v>
      </c>
      <c r="H230" t="s">
        <v>4317</v>
      </c>
      <c r="I230" s="5">
        <v>83</v>
      </c>
      <c r="J230" s="4">
        <v>7.5</v>
      </c>
      <c r="K230" s="5">
        <v>75</v>
      </c>
      <c r="L230" s="5">
        <v>72039</v>
      </c>
      <c r="M230" s="5">
        <v>91</v>
      </c>
      <c r="N230" s="5">
        <v>88</v>
      </c>
      <c r="O230" s="5">
        <v>139</v>
      </c>
      <c r="Q230" s="5">
        <v>108261</v>
      </c>
      <c r="R230" s="5">
        <v>84</v>
      </c>
      <c r="S230" s="5">
        <v>322596</v>
      </c>
      <c r="T230" s="5">
        <v>80</v>
      </c>
      <c r="U230" t="s">
        <v>4317</v>
      </c>
      <c r="V230" s="2">
        <v>83.6</v>
      </c>
      <c r="W230" s="5">
        <f>Top_500_Movies_Ranked_by_Combined_Critics_and_Audience_Scores[[#This Row],[Critic_Rating_RT]]-Top_500_Movies_Ranked_by_Combined_Critics_and_Audience_Scores[[#This Row],[Audience_Rating]]</f>
        <v>88</v>
      </c>
      <c r="X230" s="5">
        <f>FLOOR(Top_500_Movies_Ranked_by_Combined_Critics_and_Audience_Scores[[#This Row],[Year]],10)</f>
        <v>2020</v>
      </c>
    </row>
    <row r="231" spans="1:24" x14ac:dyDescent="0.2">
      <c r="A231" s="3">
        <v>230</v>
      </c>
      <c r="B231" t="s">
        <v>2296</v>
      </c>
      <c r="C231" s="5">
        <v>2006</v>
      </c>
      <c r="D231" t="s">
        <v>2297</v>
      </c>
      <c r="E231" t="s">
        <v>4327</v>
      </c>
      <c r="F231" t="s">
        <v>30</v>
      </c>
      <c r="G231" t="s">
        <v>2301</v>
      </c>
      <c r="H231" t="s">
        <v>85</v>
      </c>
      <c r="I231" s="5">
        <v>84</v>
      </c>
      <c r="J231" s="4">
        <v>7.9</v>
      </c>
      <c r="K231" s="5">
        <v>79</v>
      </c>
      <c r="L231" s="5">
        <v>545472</v>
      </c>
      <c r="M231" s="5">
        <v>84</v>
      </c>
      <c r="N231" s="5">
        <v>82</v>
      </c>
      <c r="O231" s="5">
        <v>160</v>
      </c>
      <c r="P231" s="5">
        <v>82</v>
      </c>
      <c r="Q231" s="5">
        <v>547568</v>
      </c>
      <c r="R231" s="5">
        <v>86</v>
      </c>
      <c r="S231" s="5">
        <v>579387</v>
      </c>
      <c r="T231" s="5">
        <v>88</v>
      </c>
      <c r="U231" t="s">
        <v>253</v>
      </c>
      <c r="V231" s="2">
        <v>83.5</v>
      </c>
      <c r="W231" s="5">
        <f>Top_500_Movies_Ranked_by_Combined_Critics_and_Audience_Scores[[#This Row],[Critic_Rating_RT]]-Top_500_Movies_Ranked_by_Combined_Critics_and_Audience_Scores[[#This Row],[Audience_Rating]]</f>
        <v>0</v>
      </c>
      <c r="X231" s="5">
        <f>FLOOR(Top_500_Movies_Ranked_by_Combined_Critics_and_Audience_Scores[[#This Row],[Year]],10)</f>
        <v>2000</v>
      </c>
    </row>
    <row r="232" spans="1:24" x14ac:dyDescent="0.2">
      <c r="A232" s="3">
        <v>231</v>
      </c>
      <c r="B232" t="s">
        <v>4328</v>
      </c>
      <c r="C232" s="5">
        <v>2001</v>
      </c>
      <c r="D232" t="s">
        <v>211</v>
      </c>
      <c r="E232" t="s">
        <v>4327</v>
      </c>
      <c r="F232" t="s">
        <v>492</v>
      </c>
      <c r="G232" t="s">
        <v>2310</v>
      </c>
      <c r="H232" t="s">
        <v>1260</v>
      </c>
      <c r="I232" s="5">
        <v>83</v>
      </c>
      <c r="J232" s="4">
        <v>7.7</v>
      </c>
      <c r="K232" s="5">
        <v>77</v>
      </c>
      <c r="L232" s="5">
        <v>133724</v>
      </c>
      <c r="M232" s="5">
        <v>89</v>
      </c>
      <c r="N232" s="5">
        <v>83</v>
      </c>
      <c r="O232" s="5">
        <v>106</v>
      </c>
      <c r="P232" s="5">
        <v>84</v>
      </c>
      <c r="Q232" s="5">
        <v>139298</v>
      </c>
      <c r="R232" s="5">
        <v>84</v>
      </c>
      <c r="S232" s="5">
        <v>278042</v>
      </c>
      <c r="T232" s="5">
        <v>84</v>
      </c>
      <c r="U232" t="s">
        <v>916</v>
      </c>
      <c r="V232" s="2">
        <v>83.5</v>
      </c>
      <c r="W232" s="5">
        <f>Top_500_Movies_Ranked_by_Combined_Critics_and_Audience_Scores[[#This Row],[Critic_Rating_RT]]-Top_500_Movies_Ranked_by_Combined_Critics_and_Audience_Scores[[#This Row],[Audience_Rating]]</f>
        <v>-1</v>
      </c>
      <c r="X232" s="5">
        <f>FLOOR(Top_500_Movies_Ranked_by_Combined_Critics_and_Audience_Scores[[#This Row],[Year]],10)</f>
        <v>2000</v>
      </c>
    </row>
    <row r="233" spans="1:24" x14ac:dyDescent="0.2">
      <c r="A233" s="3">
        <v>232</v>
      </c>
      <c r="B233" t="s">
        <v>2315</v>
      </c>
      <c r="C233" s="5">
        <v>1977</v>
      </c>
      <c r="D233" t="s">
        <v>2316</v>
      </c>
      <c r="E233" t="s">
        <v>81</v>
      </c>
      <c r="F233" t="s">
        <v>30</v>
      </c>
      <c r="G233" t="s">
        <v>2319</v>
      </c>
      <c r="H233" t="s">
        <v>2320</v>
      </c>
      <c r="I233" s="5">
        <v>84</v>
      </c>
      <c r="J233" s="4">
        <v>7.6</v>
      </c>
      <c r="K233" s="5">
        <v>76</v>
      </c>
      <c r="L233" s="5">
        <v>224473</v>
      </c>
      <c r="M233" s="5">
        <v>90</v>
      </c>
      <c r="N233" s="5">
        <v>90</v>
      </c>
      <c r="O233" s="5">
        <v>95</v>
      </c>
      <c r="P233" s="5">
        <v>82</v>
      </c>
      <c r="Q233" s="5">
        <v>174410</v>
      </c>
      <c r="R233" s="5">
        <v>76</v>
      </c>
      <c r="S233" s="5">
        <v>238295</v>
      </c>
      <c r="T233" s="5">
        <v>87</v>
      </c>
      <c r="U233" t="s">
        <v>75</v>
      </c>
      <c r="V233" s="2">
        <v>83.5</v>
      </c>
      <c r="W233" s="5">
        <f>Top_500_Movies_Ranked_by_Combined_Critics_and_Audience_Scores[[#This Row],[Critic_Rating_RT]]-Top_500_Movies_Ranked_by_Combined_Critics_and_Audience_Scores[[#This Row],[Audience_Rating]]</f>
        <v>8</v>
      </c>
      <c r="X233" s="5">
        <f>FLOOR(Top_500_Movies_Ranked_by_Combined_Critics_and_Audience_Scores[[#This Row],[Year]],10)</f>
        <v>1970</v>
      </c>
    </row>
    <row r="234" spans="1:24" x14ac:dyDescent="0.2">
      <c r="A234" s="3">
        <v>233</v>
      </c>
      <c r="B234" t="s">
        <v>2325</v>
      </c>
      <c r="C234" s="5">
        <v>1995</v>
      </c>
      <c r="D234" t="s">
        <v>1011</v>
      </c>
      <c r="E234" t="s">
        <v>2326</v>
      </c>
      <c r="F234" t="s">
        <v>30</v>
      </c>
      <c r="G234" t="s">
        <v>2329</v>
      </c>
      <c r="H234" t="s">
        <v>2330</v>
      </c>
      <c r="I234" s="5">
        <v>82</v>
      </c>
      <c r="J234" s="4">
        <v>8.5</v>
      </c>
      <c r="K234" s="5">
        <v>85</v>
      </c>
      <c r="L234" s="5">
        <v>1183910</v>
      </c>
      <c r="M234" s="5">
        <v>76</v>
      </c>
      <c r="N234" s="5">
        <v>78</v>
      </c>
      <c r="O234" s="5">
        <v>62</v>
      </c>
      <c r="P234" s="5">
        <v>92</v>
      </c>
      <c r="Q234" s="5">
        <v>493378</v>
      </c>
      <c r="R234" s="5">
        <v>82</v>
      </c>
      <c r="S234" s="5">
        <v>608644</v>
      </c>
      <c r="T234" s="5">
        <v>88</v>
      </c>
      <c r="U234" t="s">
        <v>325</v>
      </c>
      <c r="V234" s="2">
        <v>83.5</v>
      </c>
      <c r="W234" s="5">
        <f>Top_500_Movies_Ranked_by_Combined_Critics_and_Audience_Scores[[#This Row],[Critic_Rating_RT]]-Top_500_Movies_Ranked_by_Combined_Critics_and_Audience_Scores[[#This Row],[Audience_Rating]]</f>
        <v>-14</v>
      </c>
      <c r="X234" s="5">
        <f>FLOOR(Top_500_Movies_Ranked_by_Combined_Critics_and_Audience_Scores[[#This Row],[Year]],10)</f>
        <v>1990</v>
      </c>
    </row>
    <row r="235" spans="1:24" x14ac:dyDescent="0.2">
      <c r="A235" s="3">
        <v>234</v>
      </c>
      <c r="B235" t="s">
        <v>2335</v>
      </c>
      <c r="C235" s="5">
        <v>2012</v>
      </c>
      <c r="D235" t="s">
        <v>65</v>
      </c>
      <c r="E235" t="s">
        <v>2336</v>
      </c>
      <c r="F235" t="s">
        <v>2338</v>
      </c>
      <c r="G235" t="s">
        <v>2340</v>
      </c>
      <c r="H235" t="s">
        <v>2341</v>
      </c>
      <c r="I235" s="5">
        <v>82</v>
      </c>
      <c r="J235" s="4">
        <v>8.3000000000000007</v>
      </c>
      <c r="K235" s="5">
        <v>83</v>
      </c>
      <c r="L235" s="5">
        <v>385419</v>
      </c>
      <c r="M235" s="5">
        <v>77</v>
      </c>
      <c r="N235" s="5">
        <v>76</v>
      </c>
      <c r="O235" s="5">
        <v>64</v>
      </c>
      <c r="P235" s="5">
        <v>90</v>
      </c>
      <c r="Q235" s="5">
        <v>132458</v>
      </c>
      <c r="R235" s="5">
        <v>86</v>
      </c>
      <c r="S235" s="5">
        <v>397376</v>
      </c>
      <c r="T235" s="5">
        <v>89</v>
      </c>
      <c r="U235" t="s">
        <v>75</v>
      </c>
      <c r="V235" s="2">
        <v>83.5</v>
      </c>
      <c r="W235" s="5">
        <f>Top_500_Movies_Ranked_by_Combined_Critics_and_Audience_Scores[[#This Row],[Critic_Rating_RT]]-Top_500_Movies_Ranked_by_Combined_Critics_and_Audience_Scores[[#This Row],[Audience_Rating]]</f>
        <v>-14</v>
      </c>
      <c r="X235" s="5">
        <f>FLOOR(Top_500_Movies_Ranked_by_Combined_Critics_and_Audience_Scores[[#This Row],[Year]],10)</f>
        <v>2010</v>
      </c>
    </row>
    <row r="236" spans="1:24" x14ac:dyDescent="0.2">
      <c r="A236" s="3">
        <v>235</v>
      </c>
      <c r="B236" t="s">
        <v>2346</v>
      </c>
      <c r="C236" s="5">
        <v>1940</v>
      </c>
      <c r="D236" t="s">
        <v>140</v>
      </c>
      <c r="E236" t="s">
        <v>2347</v>
      </c>
      <c r="F236" t="s">
        <v>30</v>
      </c>
      <c r="G236" t="s">
        <v>686</v>
      </c>
      <c r="H236" t="s">
        <v>2350</v>
      </c>
      <c r="I236" s="5">
        <v>84</v>
      </c>
      <c r="J236" s="4">
        <v>7.7</v>
      </c>
      <c r="K236" s="5">
        <v>77</v>
      </c>
      <c r="L236" s="5">
        <v>107375</v>
      </c>
      <c r="M236" s="5">
        <v>96</v>
      </c>
      <c r="N236" s="5">
        <v>89</v>
      </c>
      <c r="O236" s="5">
        <v>51</v>
      </c>
      <c r="P236" s="5">
        <v>80</v>
      </c>
      <c r="Q236" s="5">
        <v>164075</v>
      </c>
      <c r="R236" s="5">
        <v>78</v>
      </c>
      <c r="S236" s="5">
        <v>233257</v>
      </c>
      <c r="T236" s="5">
        <v>81</v>
      </c>
      <c r="U236" t="s">
        <v>2353</v>
      </c>
      <c r="V236" s="2">
        <v>83.5</v>
      </c>
      <c r="W236" s="5">
        <f>Top_500_Movies_Ranked_by_Combined_Critics_and_Audience_Scores[[#This Row],[Critic_Rating_RT]]-Top_500_Movies_Ranked_by_Combined_Critics_and_Audience_Scores[[#This Row],[Audience_Rating]]</f>
        <v>9</v>
      </c>
      <c r="X236" s="5">
        <f>FLOOR(Top_500_Movies_Ranked_by_Combined_Critics_and_Audience_Scores[[#This Row],[Year]],10)</f>
        <v>1940</v>
      </c>
    </row>
    <row r="237" spans="1:24" x14ac:dyDescent="0.2">
      <c r="A237" s="3">
        <v>236</v>
      </c>
      <c r="B237" t="s">
        <v>2356</v>
      </c>
      <c r="C237" s="5">
        <v>2004</v>
      </c>
      <c r="D237" t="s">
        <v>1674</v>
      </c>
      <c r="E237" t="s">
        <v>114</v>
      </c>
      <c r="F237" t="s">
        <v>30</v>
      </c>
      <c r="G237" t="s">
        <v>2359</v>
      </c>
      <c r="H237" t="s">
        <v>118</v>
      </c>
      <c r="I237" s="5">
        <v>83</v>
      </c>
      <c r="J237" s="4">
        <v>8</v>
      </c>
      <c r="K237" s="5">
        <v>80</v>
      </c>
      <c r="L237" s="5">
        <v>833912</v>
      </c>
      <c r="M237" s="5">
        <v>83</v>
      </c>
      <c r="N237" s="5">
        <v>79</v>
      </c>
      <c r="O237" s="5">
        <v>163</v>
      </c>
      <c r="P237" s="5">
        <v>86</v>
      </c>
      <c r="Q237" s="5">
        <v>928375</v>
      </c>
      <c r="R237" s="5">
        <v>82</v>
      </c>
      <c r="S237" s="5">
        <v>1100503</v>
      </c>
      <c r="T237" s="5">
        <v>91</v>
      </c>
      <c r="U237" t="s">
        <v>75</v>
      </c>
      <c r="V237" s="2">
        <v>83.5</v>
      </c>
      <c r="W237" s="5">
        <f>Top_500_Movies_Ranked_by_Combined_Critics_and_Audience_Scores[[#This Row],[Critic_Rating_RT]]-Top_500_Movies_Ranked_by_Combined_Critics_and_Audience_Scores[[#This Row],[Audience_Rating]]</f>
        <v>-7</v>
      </c>
      <c r="X237" s="5">
        <f>FLOOR(Top_500_Movies_Ranked_by_Combined_Critics_and_Audience_Scores[[#This Row],[Year]],10)</f>
        <v>2000</v>
      </c>
    </row>
    <row r="238" spans="1:24" x14ac:dyDescent="0.2">
      <c r="A238" s="3">
        <v>237</v>
      </c>
      <c r="B238" t="s">
        <v>2364</v>
      </c>
      <c r="C238" s="5">
        <v>1985</v>
      </c>
      <c r="D238" t="s">
        <v>2365</v>
      </c>
      <c r="E238" t="s">
        <v>2366</v>
      </c>
      <c r="F238" t="s">
        <v>30</v>
      </c>
      <c r="G238" t="s">
        <v>461</v>
      </c>
      <c r="H238" t="s">
        <v>85</v>
      </c>
      <c r="I238" s="5">
        <v>83</v>
      </c>
      <c r="J238" s="4">
        <v>7.8</v>
      </c>
      <c r="K238" s="5">
        <v>78</v>
      </c>
      <c r="L238" s="5">
        <v>215804</v>
      </c>
      <c r="M238" s="5">
        <v>84</v>
      </c>
      <c r="N238" s="5">
        <v>87</v>
      </c>
      <c r="O238" s="5">
        <v>75</v>
      </c>
      <c r="P238" s="5">
        <v>86</v>
      </c>
      <c r="Q238" s="5">
        <v>136795</v>
      </c>
      <c r="R238" s="5">
        <v>82</v>
      </c>
      <c r="S238" s="5">
        <v>203811</v>
      </c>
      <c r="T238" s="5">
        <v>84</v>
      </c>
      <c r="U238" t="s">
        <v>75</v>
      </c>
      <c r="V238" s="2">
        <v>83.5</v>
      </c>
      <c r="W238" s="5">
        <f>Top_500_Movies_Ranked_by_Combined_Critics_and_Audience_Scores[[#This Row],[Critic_Rating_RT]]-Top_500_Movies_Ranked_by_Combined_Critics_and_Audience_Scores[[#This Row],[Audience_Rating]]</f>
        <v>1</v>
      </c>
      <c r="X238" s="5">
        <f>FLOOR(Top_500_Movies_Ranked_by_Combined_Critics_and_Audience_Scores[[#This Row],[Year]],10)</f>
        <v>1980</v>
      </c>
    </row>
    <row r="239" spans="1:24" x14ac:dyDescent="0.2">
      <c r="A239" s="3">
        <v>238</v>
      </c>
      <c r="B239" t="s">
        <v>2373</v>
      </c>
      <c r="C239" s="5">
        <v>2017</v>
      </c>
      <c r="D239" t="s">
        <v>2374</v>
      </c>
      <c r="E239" t="s">
        <v>2375</v>
      </c>
      <c r="F239" t="s">
        <v>50</v>
      </c>
      <c r="G239" t="s">
        <v>4317</v>
      </c>
      <c r="H239" t="s">
        <v>4317</v>
      </c>
      <c r="I239" s="5">
        <v>83</v>
      </c>
      <c r="J239" s="4">
        <v>7.6</v>
      </c>
      <c r="K239" s="5">
        <v>76</v>
      </c>
      <c r="L239" s="5">
        <v>32571</v>
      </c>
      <c r="M239" s="5">
        <v>86</v>
      </c>
      <c r="N239" s="5">
        <v>86</v>
      </c>
      <c r="O239" s="5">
        <v>74</v>
      </c>
      <c r="P239" s="5">
        <v>84</v>
      </c>
      <c r="Q239" s="5">
        <v>39772</v>
      </c>
      <c r="R239" s="5">
        <v>82</v>
      </c>
      <c r="S239" s="5">
        <v>118048</v>
      </c>
      <c r="T239" s="5">
        <v>87</v>
      </c>
      <c r="U239" t="s">
        <v>75</v>
      </c>
      <c r="V239" s="2">
        <v>83.5</v>
      </c>
      <c r="W239" s="5">
        <f>Top_500_Movies_Ranked_by_Combined_Critics_and_Audience_Scores[[#This Row],[Critic_Rating_RT]]-Top_500_Movies_Ranked_by_Combined_Critics_and_Audience_Scores[[#This Row],[Audience_Rating]]</f>
        <v>2</v>
      </c>
      <c r="X239" s="5">
        <f>FLOOR(Top_500_Movies_Ranked_by_Combined_Critics_and_Audience_Scores[[#This Row],[Year]],10)</f>
        <v>2010</v>
      </c>
    </row>
    <row r="240" spans="1:24" x14ac:dyDescent="0.2">
      <c r="A240" s="3">
        <v>239</v>
      </c>
      <c r="B240" t="s">
        <v>2382</v>
      </c>
      <c r="C240" s="5">
        <v>2023</v>
      </c>
      <c r="D240" t="s">
        <v>2072</v>
      </c>
      <c r="E240" t="s">
        <v>1012</v>
      </c>
      <c r="F240" t="s">
        <v>50</v>
      </c>
      <c r="G240" t="s">
        <v>4317</v>
      </c>
      <c r="H240" t="s">
        <v>4317</v>
      </c>
      <c r="I240" s="5">
        <v>84</v>
      </c>
      <c r="J240" s="4">
        <v>7.8</v>
      </c>
      <c r="K240" s="5">
        <v>78</v>
      </c>
      <c r="L240" s="5">
        <v>34095</v>
      </c>
      <c r="M240" s="5">
        <v>79</v>
      </c>
      <c r="N240" s="5">
        <v>81</v>
      </c>
      <c r="O240" s="5">
        <v>100</v>
      </c>
      <c r="Q240" s="5">
        <v>93798</v>
      </c>
      <c r="R240" s="5">
        <v>86</v>
      </c>
      <c r="S240" s="5">
        <v>280888</v>
      </c>
      <c r="T240" s="5">
        <v>93</v>
      </c>
      <c r="U240" t="s">
        <v>2387</v>
      </c>
      <c r="V240" s="2">
        <v>83.4</v>
      </c>
      <c r="W240" s="5">
        <f>Top_500_Movies_Ranked_by_Combined_Critics_and_Audience_Scores[[#This Row],[Critic_Rating_RT]]-Top_500_Movies_Ranked_by_Combined_Critics_and_Audience_Scores[[#This Row],[Audience_Rating]]</f>
        <v>81</v>
      </c>
      <c r="X240" s="5">
        <f>FLOOR(Top_500_Movies_Ranked_by_Combined_Critics_and_Audience_Scores[[#This Row],[Year]],10)</f>
        <v>2020</v>
      </c>
    </row>
    <row r="241" spans="1:24" x14ac:dyDescent="0.2">
      <c r="A241" s="3">
        <v>240</v>
      </c>
      <c r="B241" t="s">
        <v>2391</v>
      </c>
      <c r="C241" s="5">
        <v>2023</v>
      </c>
      <c r="D241" t="s">
        <v>65</v>
      </c>
      <c r="E241" t="s">
        <v>2392</v>
      </c>
      <c r="F241" t="s">
        <v>50</v>
      </c>
      <c r="G241" t="s">
        <v>4317</v>
      </c>
      <c r="H241" t="s">
        <v>4317</v>
      </c>
      <c r="I241" s="5">
        <v>84</v>
      </c>
      <c r="J241" s="4">
        <v>7.9</v>
      </c>
      <c r="K241" s="5">
        <v>79</v>
      </c>
      <c r="L241" s="5">
        <v>79707</v>
      </c>
      <c r="M241" s="5">
        <v>80</v>
      </c>
      <c r="N241" s="5">
        <v>82</v>
      </c>
      <c r="O241" s="5">
        <v>115</v>
      </c>
      <c r="Q241" s="5">
        <v>175773</v>
      </c>
      <c r="R241" s="5">
        <v>86</v>
      </c>
      <c r="S241" s="5">
        <v>526385</v>
      </c>
      <c r="T241" s="5">
        <v>90</v>
      </c>
      <c r="U241" t="s">
        <v>2397</v>
      </c>
      <c r="V241" s="2">
        <v>83.4</v>
      </c>
      <c r="W241" s="5">
        <f>Top_500_Movies_Ranked_by_Combined_Critics_and_Audience_Scores[[#This Row],[Critic_Rating_RT]]-Top_500_Movies_Ranked_by_Combined_Critics_and_Audience_Scores[[#This Row],[Audience_Rating]]</f>
        <v>82</v>
      </c>
      <c r="X241" s="5">
        <f>FLOOR(Top_500_Movies_Ranked_by_Combined_Critics_and_Audience_Scores[[#This Row],[Year]],10)</f>
        <v>2020</v>
      </c>
    </row>
    <row r="242" spans="1:24" x14ac:dyDescent="0.2">
      <c r="A242" s="3">
        <v>241</v>
      </c>
      <c r="B242" t="s">
        <v>2400</v>
      </c>
      <c r="C242" s="5">
        <v>2023</v>
      </c>
      <c r="D242" t="s">
        <v>2401</v>
      </c>
      <c r="E242" t="s">
        <v>2402</v>
      </c>
      <c r="F242" t="s">
        <v>492</v>
      </c>
      <c r="G242" t="s">
        <v>4317</v>
      </c>
      <c r="H242" t="s">
        <v>4317</v>
      </c>
      <c r="I242" s="5">
        <v>83</v>
      </c>
      <c r="J242" s="4">
        <v>7.6</v>
      </c>
      <c r="K242" s="5">
        <v>76</v>
      </c>
      <c r="L242" s="5">
        <v>20523</v>
      </c>
      <c r="M242" s="5">
        <v>87</v>
      </c>
      <c r="N242" s="5">
        <v>85</v>
      </c>
      <c r="O242" s="5">
        <v>89</v>
      </c>
      <c r="Q242" s="5">
        <v>61360</v>
      </c>
      <c r="R242" s="5">
        <v>82</v>
      </c>
      <c r="S242" s="5">
        <v>183822</v>
      </c>
      <c r="T242" s="5">
        <v>87</v>
      </c>
      <c r="U242" t="s">
        <v>4317</v>
      </c>
      <c r="V242" s="2">
        <v>83.4</v>
      </c>
      <c r="W242" s="5">
        <f>Top_500_Movies_Ranked_by_Combined_Critics_and_Audience_Scores[[#This Row],[Critic_Rating_RT]]-Top_500_Movies_Ranked_by_Combined_Critics_and_Audience_Scores[[#This Row],[Audience_Rating]]</f>
        <v>85</v>
      </c>
      <c r="X242" s="5">
        <f>FLOOR(Top_500_Movies_Ranked_by_Combined_Critics_and_Audience_Scores[[#This Row],[Year]],10)</f>
        <v>2020</v>
      </c>
    </row>
    <row r="243" spans="1:24" x14ac:dyDescent="0.2">
      <c r="A243" s="3">
        <v>242</v>
      </c>
      <c r="B243" t="s">
        <v>2409</v>
      </c>
      <c r="C243" s="5">
        <v>2004</v>
      </c>
      <c r="D243" t="s">
        <v>2410</v>
      </c>
      <c r="E243" t="s">
        <v>743</v>
      </c>
      <c r="F243" t="s">
        <v>30</v>
      </c>
      <c r="G243" t="s">
        <v>4317</v>
      </c>
      <c r="H243" t="s">
        <v>4317</v>
      </c>
      <c r="I243" s="5">
        <v>85</v>
      </c>
      <c r="J243" s="4">
        <v>8</v>
      </c>
      <c r="K243" s="5">
        <v>80</v>
      </c>
      <c r="L243" s="5">
        <v>849428</v>
      </c>
      <c r="M243" s="5">
        <v>90</v>
      </c>
      <c r="N243" s="5">
        <v>86</v>
      </c>
      <c r="O243" s="5">
        <v>150</v>
      </c>
      <c r="P243" s="5">
        <v>75</v>
      </c>
      <c r="Q243" s="5">
        <v>22277024</v>
      </c>
      <c r="R243" s="5">
        <v>82</v>
      </c>
      <c r="S243" s="5">
        <v>1622816</v>
      </c>
      <c r="T243" s="5">
        <v>87</v>
      </c>
      <c r="U243" t="s">
        <v>444</v>
      </c>
      <c r="V243" s="2">
        <v>83.33</v>
      </c>
      <c r="W243" s="5">
        <f>Top_500_Movies_Ranked_by_Combined_Critics_and_Audience_Scores[[#This Row],[Critic_Rating_RT]]-Top_500_Movies_Ranked_by_Combined_Critics_and_Audience_Scores[[#This Row],[Audience_Rating]]</f>
        <v>11</v>
      </c>
      <c r="X243" s="5">
        <f>FLOOR(Top_500_Movies_Ranked_by_Combined_Critics_and_Audience_Scores[[#This Row],[Year]],10)</f>
        <v>2000</v>
      </c>
    </row>
    <row r="244" spans="1:24" x14ac:dyDescent="0.2">
      <c r="A244" s="3">
        <v>243</v>
      </c>
      <c r="B244" t="s">
        <v>2418</v>
      </c>
      <c r="C244" s="5">
        <v>1986</v>
      </c>
      <c r="D244" t="s">
        <v>593</v>
      </c>
      <c r="E244" t="s">
        <v>2419</v>
      </c>
      <c r="F244" t="s">
        <v>30</v>
      </c>
      <c r="G244" t="s">
        <v>2422</v>
      </c>
      <c r="H244" t="s">
        <v>2423</v>
      </c>
      <c r="I244" s="5">
        <v>82</v>
      </c>
      <c r="J244" s="4">
        <v>8.1</v>
      </c>
      <c r="K244" s="5">
        <v>81</v>
      </c>
      <c r="L244" s="5">
        <v>461130</v>
      </c>
      <c r="M244" s="5">
        <v>75</v>
      </c>
      <c r="N244" s="5">
        <v>79</v>
      </c>
      <c r="O244" s="5">
        <v>55</v>
      </c>
      <c r="P244" s="5">
        <v>90</v>
      </c>
      <c r="Q244" s="5">
        <v>437767</v>
      </c>
      <c r="R244" s="5">
        <v>84</v>
      </c>
      <c r="S244" s="5">
        <v>771437</v>
      </c>
      <c r="T244" s="5">
        <v>91</v>
      </c>
      <c r="U244" t="s">
        <v>2426</v>
      </c>
      <c r="V244" s="2">
        <v>83.33</v>
      </c>
      <c r="W244" s="5">
        <f>Top_500_Movies_Ranked_by_Combined_Critics_and_Audience_Scores[[#This Row],[Critic_Rating_RT]]-Top_500_Movies_Ranked_by_Combined_Critics_and_Audience_Scores[[#This Row],[Audience_Rating]]</f>
        <v>-11</v>
      </c>
      <c r="X244" s="5">
        <f>FLOOR(Top_500_Movies_Ranked_by_Combined_Critics_and_Audience_Scores[[#This Row],[Year]],10)</f>
        <v>1980</v>
      </c>
    </row>
    <row r="245" spans="1:24" x14ac:dyDescent="0.2">
      <c r="A245" s="3">
        <v>244</v>
      </c>
      <c r="B245" t="s">
        <v>2428</v>
      </c>
      <c r="C245" s="5">
        <v>1964</v>
      </c>
      <c r="D245" t="s">
        <v>2429</v>
      </c>
      <c r="E245" t="s">
        <v>2430</v>
      </c>
      <c r="F245" t="s">
        <v>30</v>
      </c>
      <c r="G245" t="s">
        <v>2433</v>
      </c>
      <c r="H245" t="s">
        <v>167</v>
      </c>
      <c r="I245" s="5">
        <v>83</v>
      </c>
      <c r="J245" s="4">
        <v>7.7</v>
      </c>
      <c r="K245" s="5">
        <v>77</v>
      </c>
      <c r="L245" s="5">
        <v>208399</v>
      </c>
      <c r="M245" s="5">
        <v>87</v>
      </c>
      <c r="N245" s="5">
        <v>87</v>
      </c>
      <c r="O245" s="5">
        <v>58</v>
      </c>
      <c r="P245" s="5">
        <v>85</v>
      </c>
      <c r="Q245" s="5">
        <v>193600</v>
      </c>
      <c r="R245" s="5">
        <v>76</v>
      </c>
      <c r="S245" s="5">
        <v>165532</v>
      </c>
      <c r="T245" s="5">
        <v>88</v>
      </c>
      <c r="U245" t="s">
        <v>75</v>
      </c>
      <c r="V245" s="2">
        <v>83.33</v>
      </c>
      <c r="W245" s="5">
        <f>Top_500_Movies_Ranked_by_Combined_Critics_and_Audience_Scores[[#This Row],[Critic_Rating_RT]]-Top_500_Movies_Ranked_by_Combined_Critics_and_Audience_Scores[[#This Row],[Audience_Rating]]</f>
        <v>2</v>
      </c>
      <c r="X245" s="5">
        <f>FLOOR(Top_500_Movies_Ranked_by_Combined_Critics_and_Audience_Scores[[#This Row],[Year]],10)</f>
        <v>1960</v>
      </c>
    </row>
    <row r="246" spans="1:24" x14ac:dyDescent="0.2">
      <c r="A246" s="3">
        <v>245</v>
      </c>
      <c r="B246" t="s">
        <v>2438</v>
      </c>
      <c r="C246" s="5">
        <v>2016</v>
      </c>
      <c r="D246" t="s">
        <v>65</v>
      </c>
      <c r="E246" t="s">
        <v>2439</v>
      </c>
      <c r="F246" t="s">
        <v>30</v>
      </c>
      <c r="G246" t="s">
        <v>4317</v>
      </c>
      <c r="H246" t="s">
        <v>4317</v>
      </c>
      <c r="I246" s="5">
        <v>84</v>
      </c>
      <c r="J246" s="4">
        <v>7.8</v>
      </c>
      <c r="K246" s="5">
        <v>78</v>
      </c>
      <c r="L246" s="5">
        <v>330251</v>
      </c>
      <c r="M246" s="5">
        <v>96</v>
      </c>
      <c r="N246" s="5">
        <v>90</v>
      </c>
      <c r="O246" s="5">
        <v>241</v>
      </c>
      <c r="P246" s="5">
        <v>77</v>
      </c>
      <c r="Q246" s="5">
        <v>258451</v>
      </c>
      <c r="R246" s="5">
        <v>82</v>
      </c>
      <c r="S246" s="5">
        <v>673804</v>
      </c>
      <c r="T246" s="5">
        <v>77</v>
      </c>
      <c r="U246" t="s">
        <v>1858</v>
      </c>
      <c r="V246" s="2">
        <v>83.33</v>
      </c>
      <c r="W246" s="5">
        <f>Top_500_Movies_Ranked_by_Combined_Critics_and_Audience_Scores[[#This Row],[Critic_Rating_RT]]-Top_500_Movies_Ranked_by_Combined_Critics_and_Audience_Scores[[#This Row],[Audience_Rating]]</f>
        <v>13</v>
      </c>
      <c r="X246" s="5">
        <f>FLOOR(Top_500_Movies_Ranked_by_Combined_Critics_and_Audience_Scores[[#This Row],[Year]],10)</f>
        <v>2010</v>
      </c>
    </row>
    <row r="247" spans="1:24" x14ac:dyDescent="0.2">
      <c r="A247" s="3">
        <v>246</v>
      </c>
      <c r="B247" t="s">
        <v>2446</v>
      </c>
      <c r="C247" s="5">
        <v>1931</v>
      </c>
      <c r="D247" t="s">
        <v>2447</v>
      </c>
      <c r="E247" t="s">
        <v>2448</v>
      </c>
      <c r="F247" t="s">
        <v>30</v>
      </c>
      <c r="G247" t="s">
        <v>166</v>
      </c>
      <c r="H247" t="s">
        <v>2451</v>
      </c>
      <c r="I247" s="5">
        <v>83</v>
      </c>
      <c r="J247" s="4">
        <v>7.8</v>
      </c>
      <c r="K247" s="5">
        <v>78</v>
      </c>
      <c r="L247" s="5">
        <v>83138</v>
      </c>
      <c r="M247" s="5">
        <v>91</v>
      </c>
      <c r="N247" s="5">
        <v>89</v>
      </c>
      <c r="O247" s="5">
        <v>67</v>
      </c>
      <c r="P247" s="5">
        <v>84</v>
      </c>
      <c r="Q247" s="5">
        <v>55846</v>
      </c>
      <c r="R247" s="5">
        <v>76</v>
      </c>
      <c r="S247" s="5">
        <v>155858</v>
      </c>
      <c r="T247" s="5">
        <v>82</v>
      </c>
      <c r="U247" t="s">
        <v>75</v>
      </c>
      <c r="V247" s="2">
        <v>83.33</v>
      </c>
      <c r="W247" s="5">
        <f>Top_500_Movies_Ranked_by_Combined_Critics_and_Audience_Scores[[#This Row],[Critic_Rating_RT]]-Top_500_Movies_Ranked_by_Combined_Critics_and_Audience_Scores[[#This Row],[Audience_Rating]]</f>
        <v>5</v>
      </c>
      <c r="X247" s="5">
        <f>FLOOR(Top_500_Movies_Ranked_by_Combined_Critics_and_Audience_Scores[[#This Row],[Year]],10)</f>
        <v>1930</v>
      </c>
    </row>
    <row r="248" spans="1:24" x14ac:dyDescent="0.2">
      <c r="A248" s="3">
        <v>247</v>
      </c>
      <c r="B248" t="s">
        <v>2456</v>
      </c>
      <c r="C248" s="5">
        <v>2013</v>
      </c>
      <c r="D248" t="s">
        <v>1412</v>
      </c>
      <c r="E248" t="s">
        <v>1786</v>
      </c>
      <c r="F248" t="s">
        <v>30</v>
      </c>
      <c r="G248" t="s">
        <v>2459</v>
      </c>
      <c r="H248" t="s">
        <v>2460</v>
      </c>
      <c r="I248" s="5">
        <v>84</v>
      </c>
      <c r="J248" s="4">
        <v>7.9</v>
      </c>
      <c r="K248" s="5">
        <v>79</v>
      </c>
      <c r="L248" s="5">
        <v>178527</v>
      </c>
      <c r="M248" s="5">
        <v>94</v>
      </c>
      <c r="N248" s="5">
        <v>89</v>
      </c>
      <c r="O248" s="5">
        <v>168</v>
      </c>
      <c r="P248" s="5">
        <v>80</v>
      </c>
      <c r="Q248" s="5">
        <v>160109</v>
      </c>
      <c r="R248" s="5">
        <v>80</v>
      </c>
      <c r="S248" s="5">
        <v>404845</v>
      </c>
      <c r="T248" s="5">
        <v>78</v>
      </c>
      <c r="U248" t="s">
        <v>75</v>
      </c>
      <c r="V248" s="2">
        <v>83.33</v>
      </c>
      <c r="W248" s="5">
        <f>Top_500_Movies_Ranked_by_Combined_Critics_and_Audience_Scores[[#This Row],[Critic_Rating_RT]]-Top_500_Movies_Ranked_by_Combined_Critics_and_Audience_Scores[[#This Row],[Audience_Rating]]</f>
        <v>9</v>
      </c>
      <c r="X248" s="5">
        <f>FLOOR(Top_500_Movies_Ranked_by_Combined_Critics_and_Audience_Scores[[#This Row],[Year]],10)</f>
        <v>2010</v>
      </c>
    </row>
    <row r="249" spans="1:24" x14ac:dyDescent="0.2">
      <c r="A249" s="3">
        <v>248</v>
      </c>
      <c r="B249" t="s">
        <v>2465</v>
      </c>
      <c r="C249" s="5">
        <v>2008</v>
      </c>
      <c r="D249" t="s">
        <v>1161</v>
      </c>
      <c r="E249" t="s">
        <v>2466</v>
      </c>
      <c r="F249" t="s">
        <v>30</v>
      </c>
      <c r="G249" t="s">
        <v>2469</v>
      </c>
      <c r="H249" t="s">
        <v>2341</v>
      </c>
      <c r="I249" s="5">
        <v>83</v>
      </c>
      <c r="J249" s="4">
        <v>7.7</v>
      </c>
      <c r="K249" s="5">
        <v>77</v>
      </c>
      <c r="L249" s="5">
        <v>59645</v>
      </c>
      <c r="M249" s="5">
        <v>89</v>
      </c>
      <c r="N249" s="5">
        <v>85</v>
      </c>
      <c r="O249" s="5">
        <v>103</v>
      </c>
      <c r="P249" s="5">
        <v>83</v>
      </c>
      <c r="Q249" s="5">
        <v>33830</v>
      </c>
      <c r="R249" s="5">
        <v>78</v>
      </c>
      <c r="S249" s="5">
        <v>41086</v>
      </c>
      <c r="T249" s="5">
        <v>88</v>
      </c>
      <c r="U249" t="s">
        <v>253</v>
      </c>
      <c r="V249" s="2">
        <v>83.33</v>
      </c>
      <c r="W249" s="5">
        <f>Top_500_Movies_Ranked_by_Combined_Critics_and_Audience_Scores[[#This Row],[Critic_Rating_RT]]-Top_500_Movies_Ranked_by_Combined_Critics_and_Audience_Scores[[#This Row],[Audience_Rating]]</f>
        <v>2</v>
      </c>
      <c r="X249" s="5">
        <f>FLOOR(Top_500_Movies_Ranked_by_Combined_Critics_and_Audience_Scores[[#This Row],[Year]],10)</f>
        <v>2000</v>
      </c>
    </row>
    <row r="250" spans="1:24" x14ac:dyDescent="0.2">
      <c r="A250" s="3">
        <v>249</v>
      </c>
      <c r="B250" t="s">
        <v>2474</v>
      </c>
      <c r="C250" s="5">
        <v>1999</v>
      </c>
      <c r="D250" t="s">
        <v>65</v>
      </c>
      <c r="E250" t="s">
        <v>2475</v>
      </c>
      <c r="F250" t="s">
        <v>30</v>
      </c>
      <c r="G250" t="s">
        <v>2478</v>
      </c>
      <c r="H250" t="s">
        <v>2479</v>
      </c>
      <c r="I250" s="5">
        <v>82</v>
      </c>
      <c r="J250" s="4">
        <v>8.3000000000000007</v>
      </c>
      <c r="K250" s="5">
        <v>83</v>
      </c>
      <c r="L250" s="5">
        <v>1244248</v>
      </c>
      <c r="M250" s="5">
        <v>84</v>
      </c>
      <c r="N250" s="5">
        <v>83</v>
      </c>
      <c r="O250" s="5">
        <v>118</v>
      </c>
      <c r="P250" s="5">
        <v>89</v>
      </c>
      <c r="Q250" s="5">
        <v>743082</v>
      </c>
      <c r="R250" s="5">
        <v>80</v>
      </c>
      <c r="S250" s="5">
        <v>906361</v>
      </c>
      <c r="T250" s="5">
        <v>81</v>
      </c>
      <c r="U250" t="s">
        <v>916</v>
      </c>
      <c r="V250" s="2">
        <v>83.33</v>
      </c>
      <c r="W250" s="5">
        <f>Top_500_Movies_Ranked_by_Combined_Critics_and_Audience_Scores[[#This Row],[Critic_Rating_RT]]-Top_500_Movies_Ranked_by_Combined_Critics_and_Audience_Scores[[#This Row],[Audience_Rating]]</f>
        <v>-6</v>
      </c>
      <c r="X250" s="5">
        <f>FLOOR(Top_500_Movies_Ranked_by_Combined_Critics_and_Audience_Scores[[#This Row],[Year]],10)</f>
        <v>1990</v>
      </c>
    </row>
    <row r="251" spans="1:24" x14ac:dyDescent="0.2">
      <c r="A251" s="3">
        <v>250</v>
      </c>
      <c r="B251" t="s">
        <v>2484</v>
      </c>
      <c r="C251" s="5">
        <v>1987</v>
      </c>
      <c r="D251" t="s">
        <v>2485</v>
      </c>
      <c r="E251" t="s">
        <v>2419</v>
      </c>
      <c r="F251" t="s">
        <v>30</v>
      </c>
      <c r="G251" t="s">
        <v>2488</v>
      </c>
      <c r="H251" t="s">
        <v>312</v>
      </c>
      <c r="I251" s="5">
        <v>82</v>
      </c>
      <c r="J251" s="4">
        <v>8</v>
      </c>
      <c r="K251" s="5">
        <v>80</v>
      </c>
      <c r="L251" s="5">
        <v>463935</v>
      </c>
      <c r="M251" s="5">
        <v>78</v>
      </c>
      <c r="N251" s="5">
        <v>83</v>
      </c>
      <c r="O251" s="5">
        <v>81</v>
      </c>
      <c r="P251" s="5">
        <v>89</v>
      </c>
      <c r="Q251" s="5">
        <v>586715</v>
      </c>
      <c r="R251" s="5">
        <v>82</v>
      </c>
      <c r="S251" s="5">
        <v>703277</v>
      </c>
      <c r="T251" s="5">
        <v>87</v>
      </c>
      <c r="U251" t="s">
        <v>444</v>
      </c>
      <c r="V251" s="2">
        <v>83.17</v>
      </c>
      <c r="W251" s="5">
        <f>Top_500_Movies_Ranked_by_Combined_Critics_and_Audience_Scores[[#This Row],[Critic_Rating_RT]]-Top_500_Movies_Ranked_by_Combined_Critics_and_Audience_Scores[[#This Row],[Audience_Rating]]</f>
        <v>-6</v>
      </c>
      <c r="X251" s="5">
        <f>FLOOR(Top_500_Movies_Ranked_by_Combined_Critics_and_Audience_Scores[[#This Row],[Year]],10)</f>
        <v>1980</v>
      </c>
    </row>
    <row r="252" spans="1:24" x14ac:dyDescent="0.2">
      <c r="A252" s="3">
        <v>251</v>
      </c>
      <c r="B252" t="s">
        <v>2494</v>
      </c>
      <c r="C252" s="5">
        <v>1975</v>
      </c>
      <c r="D252" t="s">
        <v>2495</v>
      </c>
      <c r="E252" t="s">
        <v>2496</v>
      </c>
      <c r="F252" t="s">
        <v>189</v>
      </c>
      <c r="G252" t="s">
        <v>2499</v>
      </c>
      <c r="H252" t="s">
        <v>2500</v>
      </c>
      <c r="I252" s="5">
        <v>83</v>
      </c>
      <c r="J252" s="4">
        <v>7.5</v>
      </c>
      <c r="K252" s="5">
        <v>75</v>
      </c>
      <c r="L252" s="5">
        <v>44979</v>
      </c>
      <c r="M252" s="5">
        <v>89</v>
      </c>
      <c r="N252" s="5">
        <v>85</v>
      </c>
      <c r="O252" s="5">
        <v>60</v>
      </c>
      <c r="P252" s="5">
        <v>84</v>
      </c>
      <c r="Q252" s="5">
        <v>41285</v>
      </c>
      <c r="R252" s="5">
        <v>78</v>
      </c>
      <c r="S252" s="5">
        <v>100209</v>
      </c>
      <c r="T252" s="5">
        <v>88</v>
      </c>
      <c r="U252" t="s">
        <v>1819</v>
      </c>
      <c r="V252" s="2">
        <v>83.17</v>
      </c>
      <c r="W252" s="5">
        <f>Top_500_Movies_Ranked_by_Combined_Critics_and_Audience_Scores[[#This Row],[Critic_Rating_RT]]-Top_500_Movies_Ranked_by_Combined_Critics_and_Audience_Scores[[#This Row],[Audience_Rating]]</f>
        <v>1</v>
      </c>
      <c r="X252" s="5">
        <f>FLOOR(Top_500_Movies_Ranked_by_Combined_Critics_and_Audience_Scores[[#This Row],[Year]],10)</f>
        <v>1970</v>
      </c>
    </row>
    <row r="253" spans="1:24" x14ac:dyDescent="0.2">
      <c r="A253" s="3">
        <v>252</v>
      </c>
      <c r="B253" t="s">
        <v>2505</v>
      </c>
      <c r="C253" s="5">
        <v>2009</v>
      </c>
      <c r="D253" t="s">
        <v>2506</v>
      </c>
      <c r="E253" t="s">
        <v>2507</v>
      </c>
      <c r="F253" t="s">
        <v>30</v>
      </c>
      <c r="G253" t="s">
        <v>2510</v>
      </c>
      <c r="H253" t="s">
        <v>1260</v>
      </c>
      <c r="I253" s="5">
        <v>83</v>
      </c>
      <c r="J253" s="4">
        <v>8.1</v>
      </c>
      <c r="K253" s="5">
        <v>81</v>
      </c>
      <c r="L253" s="5">
        <v>194996</v>
      </c>
      <c r="M253" s="5">
        <v>72</v>
      </c>
      <c r="N253" s="5">
        <v>80</v>
      </c>
      <c r="O253" s="5">
        <v>63</v>
      </c>
      <c r="P253" s="5">
        <v>88</v>
      </c>
      <c r="Q253" s="5">
        <v>63451</v>
      </c>
      <c r="R253" s="5">
        <v>86</v>
      </c>
      <c r="S253" s="5">
        <v>139756</v>
      </c>
      <c r="T253" s="5">
        <v>92</v>
      </c>
      <c r="U253" t="s">
        <v>2426</v>
      </c>
      <c r="V253" s="2">
        <v>83.17</v>
      </c>
      <c r="W253" s="5">
        <f>Top_500_Movies_Ranked_by_Combined_Critics_and_Audience_Scores[[#This Row],[Critic_Rating_RT]]-Top_500_Movies_Ranked_by_Combined_Critics_and_Audience_Scores[[#This Row],[Audience_Rating]]</f>
        <v>-8</v>
      </c>
      <c r="X253" s="5">
        <f>FLOOR(Top_500_Movies_Ranked_by_Combined_Critics_and_Audience_Scores[[#This Row],[Year]],10)</f>
        <v>2000</v>
      </c>
    </row>
    <row r="254" spans="1:24" x14ac:dyDescent="0.2">
      <c r="A254" s="3">
        <v>253</v>
      </c>
      <c r="B254" t="s">
        <v>2515</v>
      </c>
      <c r="C254" s="5">
        <v>2017</v>
      </c>
      <c r="D254" t="s">
        <v>2516</v>
      </c>
      <c r="E254" t="s">
        <v>1199</v>
      </c>
      <c r="F254" t="s">
        <v>30</v>
      </c>
      <c r="G254" t="s">
        <v>4317</v>
      </c>
      <c r="H254" t="s">
        <v>4317</v>
      </c>
      <c r="I254" s="5">
        <v>84</v>
      </c>
      <c r="J254" s="4">
        <v>7.8</v>
      </c>
      <c r="K254" s="5">
        <v>78</v>
      </c>
      <c r="L254" s="5">
        <v>769404</v>
      </c>
      <c r="M254" s="5">
        <v>94</v>
      </c>
      <c r="N254" s="5">
        <v>89</v>
      </c>
      <c r="O254" s="5">
        <v>303</v>
      </c>
      <c r="P254" s="5">
        <v>79</v>
      </c>
      <c r="Q254" s="5">
        <v>525161</v>
      </c>
      <c r="R254" s="5">
        <v>76</v>
      </c>
      <c r="S254" s="5">
        <v>1433980</v>
      </c>
      <c r="T254" s="5">
        <v>83</v>
      </c>
      <c r="U254" t="s">
        <v>2521</v>
      </c>
      <c r="V254" s="2">
        <v>83.17</v>
      </c>
      <c r="W254" s="5">
        <f>Top_500_Movies_Ranked_by_Combined_Critics_and_Audience_Scores[[#This Row],[Critic_Rating_RT]]-Top_500_Movies_Ranked_by_Combined_Critics_and_Audience_Scores[[#This Row],[Audience_Rating]]</f>
        <v>10</v>
      </c>
      <c r="X254" s="5">
        <f>FLOOR(Top_500_Movies_Ranked_by_Combined_Critics_and_Audience_Scores[[#This Row],[Year]],10)</f>
        <v>2010</v>
      </c>
    </row>
    <row r="255" spans="1:24" x14ac:dyDescent="0.2">
      <c r="A255" s="3">
        <v>254</v>
      </c>
      <c r="B255" t="s">
        <v>2524</v>
      </c>
      <c r="C255" s="5">
        <v>1995</v>
      </c>
      <c r="D255" t="s">
        <v>2525</v>
      </c>
      <c r="E255" t="s">
        <v>2526</v>
      </c>
      <c r="F255" t="s">
        <v>30</v>
      </c>
      <c r="G255" t="s">
        <v>2529</v>
      </c>
      <c r="H255" t="s">
        <v>178</v>
      </c>
      <c r="I255" s="5">
        <v>82</v>
      </c>
      <c r="J255" s="4">
        <v>8.3000000000000007</v>
      </c>
      <c r="K255" s="5">
        <v>83</v>
      </c>
      <c r="L255" s="5">
        <v>749997</v>
      </c>
      <c r="M255" s="5">
        <v>76</v>
      </c>
      <c r="N255" s="5">
        <v>78</v>
      </c>
      <c r="O255" s="5">
        <v>101</v>
      </c>
      <c r="P255" s="5">
        <v>90</v>
      </c>
      <c r="Q255" s="5">
        <v>378101</v>
      </c>
      <c r="R255" s="5">
        <v>86</v>
      </c>
      <c r="S255" s="5">
        <v>688200</v>
      </c>
      <c r="T255" s="5">
        <v>86</v>
      </c>
      <c r="U255" t="s">
        <v>253</v>
      </c>
      <c r="V255" s="2">
        <v>83.17</v>
      </c>
      <c r="W255" s="5">
        <f>Top_500_Movies_Ranked_by_Combined_Critics_and_Audience_Scores[[#This Row],[Critic_Rating_RT]]-Top_500_Movies_Ranked_by_Combined_Critics_and_Audience_Scores[[#This Row],[Audience_Rating]]</f>
        <v>-12</v>
      </c>
      <c r="X255" s="5">
        <f>FLOOR(Top_500_Movies_Ranked_by_Combined_Critics_and_Audience_Scores[[#This Row],[Year]],10)</f>
        <v>1990</v>
      </c>
    </row>
    <row r="256" spans="1:24" x14ac:dyDescent="0.2">
      <c r="A256" s="3">
        <v>255</v>
      </c>
      <c r="B256" t="s">
        <v>2534</v>
      </c>
      <c r="C256" s="5">
        <v>2005</v>
      </c>
      <c r="D256" t="s">
        <v>211</v>
      </c>
      <c r="E256" t="s">
        <v>2535</v>
      </c>
      <c r="F256" t="s">
        <v>30</v>
      </c>
      <c r="G256" t="s">
        <v>2538</v>
      </c>
      <c r="H256" t="s">
        <v>614</v>
      </c>
      <c r="I256" s="5">
        <v>82</v>
      </c>
      <c r="J256" s="4">
        <v>7.8</v>
      </c>
      <c r="K256" s="5">
        <v>78</v>
      </c>
      <c r="L256" s="5">
        <v>348415</v>
      </c>
      <c r="M256" s="5">
        <v>82</v>
      </c>
      <c r="N256" s="5">
        <v>78</v>
      </c>
      <c r="O256" s="5">
        <v>96</v>
      </c>
      <c r="P256" s="5">
        <v>87</v>
      </c>
      <c r="Q256" s="5">
        <v>707510</v>
      </c>
      <c r="R256" s="5">
        <v>82</v>
      </c>
      <c r="S256" s="5">
        <v>1202164</v>
      </c>
      <c r="T256" s="5">
        <v>92</v>
      </c>
      <c r="U256" t="s">
        <v>2541</v>
      </c>
      <c r="V256" s="2">
        <v>83.17</v>
      </c>
      <c r="W256" s="5">
        <f>Top_500_Movies_Ranked_by_Combined_Critics_and_Audience_Scores[[#This Row],[Critic_Rating_RT]]-Top_500_Movies_Ranked_by_Combined_Critics_and_Audience_Scores[[#This Row],[Audience_Rating]]</f>
        <v>-9</v>
      </c>
      <c r="X256" s="5">
        <f>FLOOR(Top_500_Movies_Ranked_by_Combined_Critics_and_Audience_Scores[[#This Row],[Year]],10)</f>
        <v>2000</v>
      </c>
    </row>
    <row r="257" spans="1:24" x14ac:dyDescent="0.2">
      <c r="A257" s="3">
        <v>256</v>
      </c>
      <c r="B257" t="s">
        <v>2544</v>
      </c>
      <c r="C257" s="5">
        <v>1965</v>
      </c>
      <c r="D257" t="s">
        <v>2545</v>
      </c>
      <c r="E257" t="s">
        <v>610</v>
      </c>
      <c r="F257" t="s">
        <v>30</v>
      </c>
      <c r="G257" t="s">
        <v>2548</v>
      </c>
      <c r="H257" t="s">
        <v>2549</v>
      </c>
      <c r="I257" s="5">
        <v>83</v>
      </c>
      <c r="J257" s="4">
        <v>7.6</v>
      </c>
      <c r="K257" s="5">
        <v>76</v>
      </c>
      <c r="L257" s="5">
        <v>59375</v>
      </c>
      <c r="M257" s="5">
        <v>91</v>
      </c>
      <c r="N257" s="5">
        <v>90</v>
      </c>
      <c r="O257" s="5">
        <v>52</v>
      </c>
      <c r="P257" s="5">
        <v>83</v>
      </c>
      <c r="Q257" s="5">
        <v>39850</v>
      </c>
      <c r="R257" s="5">
        <v>78</v>
      </c>
      <c r="S257" s="5">
        <v>81167</v>
      </c>
      <c r="T257" s="5">
        <v>81</v>
      </c>
      <c r="U257" t="s">
        <v>75</v>
      </c>
      <c r="V257" s="2">
        <v>83.17</v>
      </c>
      <c r="W257" s="5">
        <f>Top_500_Movies_Ranked_by_Combined_Critics_and_Audience_Scores[[#This Row],[Critic_Rating_RT]]-Top_500_Movies_Ranked_by_Combined_Critics_and_Audience_Scores[[#This Row],[Audience_Rating]]</f>
        <v>7</v>
      </c>
      <c r="X257" s="5">
        <f>FLOOR(Top_500_Movies_Ranked_by_Combined_Critics_and_Audience_Scores[[#This Row],[Year]],10)</f>
        <v>1960</v>
      </c>
    </row>
    <row r="258" spans="1:24" x14ac:dyDescent="0.2">
      <c r="A258" s="3">
        <v>257</v>
      </c>
      <c r="B258" t="s">
        <v>2554</v>
      </c>
      <c r="C258" s="5">
        <v>2018</v>
      </c>
      <c r="D258" t="s">
        <v>65</v>
      </c>
      <c r="E258" t="s">
        <v>2555</v>
      </c>
      <c r="F258" t="s">
        <v>2557</v>
      </c>
      <c r="G258" t="s">
        <v>4317</v>
      </c>
      <c r="H258" t="s">
        <v>4317</v>
      </c>
      <c r="I258" s="5">
        <v>82</v>
      </c>
      <c r="J258" s="4">
        <v>8.4</v>
      </c>
      <c r="K258" s="5">
        <v>84</v>
      </c>
      <c r="L258" s="5">
        <v>114819</v>
      </c>
      <c r="M258" s="5">
        <v>75</v>
      </c>
      <c r="N258" s="5">
        <v>77</v>
      </c>
      <c r="O258" s="5">
        <v>108</v>
      </c>
      <c r="P258" s="5">
        <v>89</v>
      </c>
      <c r="Q258" s="5">
        <v>33107</v>
      </c>
      <c r="R258" s="5">
        <v>84</v>
      </c>
      <c r="S258" s="5">
        <v>96419</v>
      </c>
      <c r="T258" s="5">
        <v>90</v>
      </c>
      <c r="U258" t="s">
        <v>75</v>
      </c>
      <c r="V258" s="2">
        <v>83.17</v>
      </c>
      <c r="W258" s="5">
        <f>Top_500_Movies_Ranked_by_Combined_Critics_and_Audience_Scores[[#This Row],[Critic_Rating_RT]]-Top_500_Movies_Ranked_by_Combined_Critics_and_Audience_Scores[[#This Row],[Audience_Rating]]</f>
        <v>-12</v>
      </c>
      <c r="X258" s="5">
        <f>FLOOR(Top_500_Movies_Ranked_by_Combined_Critics_and_Audience_Scores[[#This Row],[Year]],10)</f>
        <v>2010</v>
      </c>
    </row>
    <row r="259" spans="1:24" x14ac:dyDescent="0.2">
      <c r="A259" s="3">
        <v>258</v>
      </c>
      <c r="B259" t="s">
        <v>2563</v>
      </c>
      <c r="C259" s="5">
        <v>2001</v>
      </c>
      <c r="D259" t="s">
        <v>2564</v>
      </c>
      <c r="E259" t="s">
        <v>1664</v>
      </c>
      <c r="F259" t="s">
        <v>30</v>
      </c>
      <c r="G259" t="s">
        <v>2567</v>
      </c>
      <c r="H259" t="s">
        <v>2568</v>
      </c>
      <c r="I259" s="5">
        <v>83</v>
      </c>
      <c r="J259" s="4">
        <v>7.9</v>
      </c>
      <c r="K259" s="5">
        <v>79</v>
      </c>
      <c r="L259" s="5">
        <v>404168</v>
      </c>
      <c r="M259" s="5">
        <v>87</v>
      </c>
      <c r="N259" s="5">
        <v>80</v>
      </c>
      <c r="O259" s="5">
        <v>156</v>
      </c>
      <c r="P259" s="5">
        <v>84</v>
      </c>
      <c r="Q259" s="5">
        <v>396635</v>
      </c>
      <c r="R259" s="5">
        <v>86</v>
      </c>
      <c r="S259" s="5">
        <v>810417</v>
      </c>
      <c r="T259" s="5">
        <v>83</v>
      </c>
      <c r="U259" t="s">
        <v>75</v>
      </c>
      <c r="V259" s="2">
        <v>83.17</v>
      </c>
      <c r="W259" s="5">
        <f>Top_500_Movies_Ranked_by_Combined_Critics_and_Audience_Scores[[#This Row],[Critic_Rating_RT]]-Top_500_Movies_Ranked_by_Combined_Critics_and_Audience_Scores[[#This Row],[Audience_Rating]]</f>
        <v>-4</v>
      </c>
      <c r="X259" s="5">
        <f>FLOOR(Top_500_Movies_Ranked_by_Combined_Critics_and_Audience_Scores[[#This Row],[Year]],10)</f>
        <v>2000</v>
      </c>
    </row>
    <row r="260" spans="1:24" x14ac:dyDescent="0.2">
      <c r="A260" s="3">
        <v>259</v>
      </c>
      <c r="B260" t="s">
        <v>2573</v>
      </c>
      <c r="C260" s="5">
        <v>2003</v>
      </c>
      <c r="D260" t="s">
        <v>2139</v>
      </c>
      <c r="E260" t="s">
        <v>2574</v>
      </c>
      <c r="F260" t="s">
        <v>30</v>
      </c>
      <c r="G260" t="s">
        <v>2577</v>
      </c>
      <c r="H260" t="s">
        <v>614</v>
      </c>
      <c r="I260" s="5">
        <v>83</v>
      </c>
      <c r="J260" s="4">
        <v>7.7</v>
      </c>
      <c r="K260" s="5">
        <v>77</v>
      </c>
      <c r="L260" s="5">
        <v>508646</v>
      </c>
      <c r="M260" s="5">
        <v>91</v>
      </c>
      <c r="N260" s="5">
        <v>86</v>
      </c>
      <c r="O260" s="5">
        <v>137</v>
      </c>
      <c r="P260" s="5">
        <v>82</v>
      </c>
      <c r="Q260" s="5">
        <v>580822</v>
      </c>
      <c r="R260" s="5">
        <v>76</v>
      </c>
      <c r="S260" s="5">
        <v>1066082</v>
      </c>
      <c r="T260" s="5">
        <v>87</v>
      </c>
      <c r="U260" t="s">
        <v>1774</v>
      </c>
      <c r="V260" s="2">
        <v>83.17</v>
      </c>
      <c r="W260" s="5">
        <f>Top_500_Movies_Ranked_by_Combined_Critics_and_Audience_Scores[[#This Row],[Critic_Rating_RT]]-Top_500_Movies_Ranked_by_Combined_Critics_and_Audience_Scores[[#This Row],[Audience_Rating]]</f>
        <v>4</v>
      </c>
      <c r="X260" s="5">
        <f>FLOOR(Top_500_Movies_Ranked_by_Combined_Critics_and_Audience_Scores[[#This Row],[Year]],10)</f>
        <v>2000</v>
      </c>
    </row>
    <row r="261" spans="1:24" x14ac:dyDescent="0.2">
      <c r="A261" s="3">
        <v>260</v>
      </c>
      <c r="B261" t="s">
        <v>2582</v>
      </c>
      <c r="C261" s="5">
        <v>1976</v>
      </c>
      <c r="D261" t="s">
        <v>2583</v>
      </c>
      <c r="E261" t="s">
        <v>2584</v>
      </c>
      <c r="F261" t="s">
        <v>30</v>
      </c>
      <c r="G261" t="s">
        <v>2587</v>
      </c>
      <c r="H261" t="s">
        <v>1509</v>
      </c>
      <c r="I261" s="5">
        <v>83</v>
      </c>
      <c r="J261" s="4">
        <v>7.9</v>
      </c>
      <c r="K261" s="5">
        <v>79</v>
      </c>
      <c r="L261" s="5">
        <v>130574</v>
      </c>
      <c r="M261" s="5">
        <v>84</v>
      </c>
      <c r="N261" s="5">
        <v>89</v>
      </c>
      <c r="O261" s="5">
        <v>61</v>
      </c>
      <c r="P261" s="5">
        <v>88</v>
      </c>
      <c r="Q261" s="5">
        <v>83353</v>
      </c>
      <c r="R261" s="5">
        <v>84</v>
      </c>
      <c r="S261" s="5">
        <v>149021</v>
      </c>
      <c r="T261" s="5">
        <v>75</v>
      </c>
      <c r="U261" t="s">
        <v>135</v>
      </c>
      <c r="V261" s="2">
        <v>83.17</v>
      </c>
      <c r="W261" s="5">
        <f>Top_500_Movies_Ranked_by_Combined_Critics_and_Audience_Scores[[#This Row],[Critic_Rating_RT]]-Top_500_Movies_Ranked_by_Combined_Critics_and_Audience_Scores[[#This Row],[Audience_Rating]]</f>
        <v>1</v>
      </c>
      <c r="X261" s="5">
        <f>FLOOR(Top_500_Movies_Ranked_by_Combined_Critics_and_Audience_Scores[[#This Row],[Year]],10)</f>
        <v>1970</v>
      </c>
    </row>
    <row r="262" spans="1:24" x14ac:dyDescent="0.2">
      <c r="A262" s="3">
        <v>261</v>
      </c>
      <c r="B262" t="s">
        <v>2592</v>
      </c>
      <c r="C262" s="5">
        <v>2000</v>
      </c>
      <c r="D262" t="s">
        <v>643</v>
      </c>
      <c r="E262" t="s">
        <v>4329</v>
      </c>
      <c r="F262" t="s">
        <v>492</v>
      </c>
      <c r="G262" t="s">
        <v>2596</v>
      </c>
      <c r="H262" t="s">
        <v>2597</v>
      </c>
      <c r="I262" s="5">
        <v>82</v>
      </c>
      <c r="J262" s="4">
        <v>8</v>
      </c>
      <c r="K262" s="5">
        <v>80</v>
      </c>
      <c r="L262" s="5">
        <v>262066</v>
      </c>
      <c r="M262" s="5">
        <v>83</v>
      </c>
      <c r="N262" s="5">
        <v>79</v>
      </c>
      <c r="O262" s="5">
        <v>81</v>
      </c>
      <c r="P262" s="5">
        <v>89</v>
      </c>
      <c r="Q262" s="5">
        <v>127741</v>
      </c>
      <c r="R262" s="5">
        <v>84</v>
      </c>
      <c r="S262" s="5">
        <v>174338</v>
      </c>
      <c r="T262" s="5">
        <v>84</v>
      </c>
      <c r="U262" t="s">
        <v>75</v>
      </c>
      <c r="V262" s="2">
        <v>83.17</v>
      </c>
      <c r="W262" s="5">
        <f>Top_500_Movies_Ranked_by_Combined_Critics_and_Audience_Scores[[#This Row],[Critic_Rating_RT]]-Top_500_Movies_Ranked_by_Combined_Critics_and_Audience_Scores[[#This Row],[Audience_Rating]]</f>
        <v>-10</v>
      </c>
      <c r="X262" s="5">
        <f>FLOOR(Top_500_Movies_Ranked_by_Combined_Critics_and_Audience_Scores[[#This Row],[Year]],10)</f>
        <v>2000</v>
      </c>
    </row>
    <row r="263" spans="1:24" x14ac:dyDescent="0.2">
      <c r="A263" s="3">
        <v>262</v>
      </c>
      <c r="B263" t="s">
        <v>2602</v>
      </c>
      <c r="C263" s="5">
        <v>1964</v>
      </c>
      <c r="D263" t="s">
        <v>211</v>
      </c>
      <c r="E263" t="s">
        <v>2603</v>
      </c>
      <c r="F263" t="s">
        <v>321</v>
      </c>
      <c r="G263" t="s">
        <v>2606</v>
      </c>
      <c r="H263" t="s">
        <v>2607</v>
      </c>
      <c r="I263" s="5">
        <v>83</v>
      </c>
      <c r="J263" s="4">
        <v>7.8</v>
      </c>
      <c r="K263" s="5">
        <v>78</v>
      </c>
      <c r="L263" s="5">
        <v>32989</v>
      </c>
      <c r="M263" s="5">
        <v>86</v>
      </c>
      <c r="N263" s="5">
        <v>88</v>
      </c>
      <c r="O263" s="5">
        <v>55</v>
      </c>
      <c r="P263" s="5">
        <v>83</v>
      </c>
      <c r="Q263" s="5">
        <v>52926</v>
      </c>
      <c r="R263" s="5">
        <v>82</v>
      </c>
      <c r="S263" s="5">
        <v>138924</v>
      </c>
      <c r="T263" s="5">
        <v>82</v>
      </c>
      <c r="U263" t="s">
        <v>135</v>
      </c>
      <c r="V263" s="2">
        <v>83.17</v>
      </c>
      <c r="W263" s="5">
        <f>Top_500_Movies_Ranked_by_Combined_Critics_and_Audience_Scores[[#This Row],[Critic_Rating_RT]]-Top_500_Movies_Ranked_by_Combined_Critics_and_Audience_Scores[[#This Row],[Audience_Rating]]</f>
        <v>5</v>
      </c>
      <c r="X263" s="5">
        <f>FLOOR(Top_500_Movies_Ranked_by_Combined_Critics_and_Audience_Scores[[#This Row],[Year]],10)</f>
        <v>1960</v>
      </c>
    </row>
    <row r="264" spans="1:24" x14ac:dyDescent="0.2">
      <c r="A264" s="3">
        <v>263</v>
      </c>
      <c r="B264" t="s">
        <v>2612</v>
      </c>
      <c r="C264" s="5">
        <v>2000</v>
      </c>
      <c r="D264" t="s">
        <v>2613</v>
      </c>
      <c r="E264" t="s">
        <v>4330</v>
      </c>
      <c r="F264" t="s">
        <v>492</v>
      </c>
      <c r="G264" t="s">
        <v>2617</v>
      </c>
      <c r="H264" t="s">
        <v>335</v>
      </c>
      <c r="I264" s="5">
        <v>82</v>
      </c>
      <c r="J264" s="4">
        <v>7.9</v>
      </c>
      <c r="K264" s="5">
        <v>79</v>
      </c>
      <c r="L264" s="5">
        <v>59346</v>
      </c>
      <c r="M264" s="5">
        <v>80</v>
      </c>
      <c r="N264" s="5">
        <v>76</v>
      </c>
      <c r="O264" s="5">
        <v>55</v>
      </c>
      <c r="P264" s="5">
        <v>90</v>
      </c>
      <c r="Q264" s="5">
        <v>31616</v>
      </c>
      <c r="R264" s="5">
        <v>82</v>
      </c>
      <c r="S264" s="5">
        <v>66882</v>
      </c>
      <c r="T264" s="5">
        <v>92</v>
      </c>
      <c r="U264" t="s">
        <v>4317</v>
      </c>
      <c r="V264" s="2">
        <v>83.17</v>
      </c>
      <c r="W264" s="5">
        <f>Top_500_Movies_Ranked_by_Combined_Critics_and_Audience_Scores[[#This Row],[Critic_Rating_RT]]-Top_500_Movies_Ranked_by_Combined_Critics_and_Audience_Scores[[#This Row],[Audience_Rating]]</f>
        <v>-14</v>
      </c>
      <c r="X264" s="5">
        <f>FLOOR(Top_500_Movies_Ranked_by_Combined_Critics_and_Audience_Scores[[#This Row],[Year]],10)</f>
        <v>2000</v>
      </c>
    </row>
    <row r="265" spans="1:24" x14ac:dyDescent="0.2">
      <c r="A265" s="3">
        <v>264</v>
      </c>
      <c r="B265" t="s">
        <v>2622</v>
      </c>
      <c r="C265" s="5">
        <v>1975</v>
      </c>
      <c r="D265" t="s">
        <v>2623</v>
      </c>
      <c r="E265" t="s">
        <v>2624</v>
      </c>
      <c r="F265" t="s">
        <v>30</v>
      </c>
      <c r="G265" t="s">
        <v>2627</v>
      </c>
      <c r="H265" t="s">
        <v>33</v>
      </c>
      <c r="I265" s="5">
        <v>83</v>
      </c>
      <c r="J265" s="4">
        <v>7.6</v>
      </c>
      <c r="K265" s="5">
        <v>76</v>
      </c>
      <c r="L265" s="5">
        <v>29656</v>
      </c>
      <c r="M265" s="5">
        <v>96</v>
      </c>
      <c r="N265" s="5">
        <v>90</v>
      </c>
      <c r="O265" s="5">
        <v>75</v>
      </c>
      <c r="P265" s="5">
        <v>81</v>
      </c>
      <c r="Q265" s="5">
        <v>25045</v>
      </c>
      <c r="R265" s="5">
        <v>84</v>
      </c>
      <c r="S265" s="5">
        <v>54825</v>
      </c>
      <c r="T265" s="5">
        <v>72</v>
      </c>
      <c r="U265" t="s">
        <v>325</v>
      </c>
      <c r="V265" s="2">
        <v>83.17</v>
      </c>
      <c r="W265" s="5">
        <f>Top_500_Movies_Ranked_by_Combined_Critics_and_Audience_Scores[[#This Row],[Critic_Rating_RT]]-Top_500_Movies_Ranked_by_Combined_Critics_and_Audience_Scores[[#This Row],[Audience_Rating]]</f>
        <v>9</v>
      </c>
      <c r="X265" s="5">
        <f>FLOOR(Top_500_Movies_Ranked_by_Combined_Critics_and_Audience_Scores[[#This Row],[Year]],10)</f>
        <v>1970</v>
      </c>
    </row>
    <row r="266" spans="1:24" x14ac:dyDescent="0.2">
      <c r="A266" s="3">
        <v>265</v>
      </c>
      <c r="B266" t="s">
        <v>4331</v>
      </c>
      <c r="C266" s="5">
        <v>2019</v>
      </c>
      <c r="D266" t="s">
        <v>2632</v>
      </c>
      <c r="E266" t="s">
        <v>2475</v>
      </c>
      <c r="F266" t="s">
        <v>30</v>
      </c>
      <c r="G266" t="s">
        <v>4317</v>
      </c>
      <c r="H266" t="s">
        <v>4317</v>
      </c>
      <c r="I266" s="5">
        <v>83</v>
      </c>
      <c r="J266" s="4">
        <v>8.1999999999999993</v>
      </c>
      <c r="K266" s="5">
        <v>82</v>
      </c>
      <c r="L266" s="5">
        <v>722017</v>
      </c>
      <c r="M266" s="5">
        <v>78</v>
      </c>
      <c r="N266" s="5">
        <v>82</v>
      </c>
      <c r="O266" s="5">
        <v>295</v>
      </c>
      <c r="P266" s="5">
        <v>86</v>
      </c>
      <c r="Q266" s="5">
        <v>523306</v>
      </c>
      <c r="R266" s="5">
        <v>82</v>
      </c>
      <c r="S266" s="5">
        <v>1473895</v>
      </c>
      <c r="T266" s="5">
        <v>89</v>
      </c>
      <c r="U266" t="s">
        <v>2637</v>
      </c>
      <c r="V266" s="2">
        <v>83.17</v>
      </c>
      <c r="W266" s="5">
        <f>Top_500_Movies_Ranked_by_Combined_Critics_and_Audience_Scores[[#This Row],[Critic_Rating_RT]]-Top_500_Movies_Ranked_by_Combined_Critics_and_Audience_Scores[[#This Row],[Audience_Rating]]</f>
        <v>-4</v>
      </c>
      <c r="X266" s="5">
        <f>FLOOR(Top_500_Movies_Ranked_by_Combined_Critics_and_Audience_Scores[[#This Row],[Year]],10)</f>
        <v>2010</v>
      </c>
    </row>
    <row r="267" spans="1:24" x14ac:dyDescent="0.2">
      <c r="A267" s="3">
        <v>266</v>
      </c>
      <c r="B267" t="s">
        <v>2640</v>
      </c>
      <c r="C267" s="5">
        <v>2014</v>
      </c>
      <c r="D267" t="s">
        <v>2641</v>
      </c>
      <c r="E267" t="s">
        <v>1199</v>
      </c>
      <c r="F267" t="s">
        <v>30</v>
      </c>
      <c r="G267" t="s">
        <v>2644</v>
      </c>
      <c r="H267" t="s">
        <v>33</v>
      </c>
      <c r="I267" s="5">
        <v>82</v>
      </c>
      <c r="J267" s="4">
        <v>8.6999999999999993</v>
      </c>
      <c r="K267" s="5">
        <v>87</v>
      </c>
      <c r="L267" s="5">
        <v>2317550</v>
      </c>
      <c r="M267" s="5">
        <v>74</v>
      </c>
      <c r="N267" s="5">
        <v>72</v>
      </c>
      <c r="O267" s="5">
        <v>250</v>
      </c>
      <c r="P267" s="5">
        <v>85</v>
      </c>
      <c r="Q267" s="5">
        <v>1339544</v>
      </c>
      <c r="R267" s="5">
        <v>88</v>
      </c>
      <c r="S267" s="5">
        <v>3653428</v>
      </c>
      <c r="T267" s="5">
        <v>92</v>
      </c>
      <c r="U267" t="s">
        <v>1281</v>
      </c>
      <c r="V267" s="2">
        <v>83</v>
      </c>
      <c r="W267" s="5">
        <f>Top_500_Movies_Ranked_by_Combined_Critics_and_Audience_Scores[[#This Row],[Critic_Rating_RT]]-Top_500_Movies_Ranked_by_Combined_Critics_and_Audience_Scores[[#This Row],[Audience_Rating]]</f>
        <v>-13</v>
      </c>
      <c r="X267" s="5">
        <f>FLOOR(Top_500_Movies_Ranked_by_Combined_Critics_and_Audience_Scores[[#This Row],[Year]],10)</f>
        <v>2010</v>
      </c>
    </row>
    <row r="268" spans="1:24" x14ac:dyDescent="0.2">
      <c r="A268" s="3">
        <v>267</v>
      </c>
      <c r="B268" t="s">
        <v>2649</v>
      </c>
      <c r="C268" s="5">
        <v>2001</v>
      </c>
      <c r="D268" t="s">
        <v>1863</v>
      </c>
      <c r="E268" t="s">
        <v>1394</v>
      </c>
      <c r="F268" t="s">
        <v>30</v>
      </c>
      <c r="G268" t="s">
        <v>2652</v>
      </c>
      <c r="H268" t="s">
        <v>2096</v>
      </c>
      <c r="I268" s="5">
        <v>82</v>
      </c>
      <c r="J268" s="4">
        <v>8.1</v>
      </c>
      <c r="K268" s="5">
        <v>81</v>
      </c>
      <c r="L268" s="5">
        <v>1020910</v>
      </c>
      <c r="M268" s="5">
        <v>79</v>
      </c>
      <c r="N268" s="5">
        <v>81</v>
      </c>
      <c r="O268" s="5">
        <v>129</v>
      </c>
      <c r="P268" s="5">
        <v>87</v>
      </c>
      <c r="Q268" s="5">
        <v>1370738</v>
      </c>
      <c r="R268" s="5">
        <v>82</v>
      </c>
      <c r="S268" s="5">
        <v>1602939</v>
      </c>
      <c r="T268" s="5">
        <v>88</v>
      </c>
      <c r="U268" t="s">
        <v>444</v>
      </c>
      <c r="V268" s="2">
        <v>83</v>
      </c>
      <c r="W268" s="5">
        <f>Top_500_Movies_Ranked_by_Combined_Critics_and_Audience_Scores[[#This Row],[Critic_Rating_RT]]-Top_500_Movies_Ranked_by_Combined_Critics_and_Audience_Scores[[#This Row],[Audience_Rating]]</f>
        <v>-6</v>
      </c>
      <c r="X268" s="5">
        <f>FLOOR(Top_500_Movies_Ranked_by_Combined_Critics_and_Audience_Scores[[#This Row],[Year]],10)</f>
        <v>2000</v>
      </c>
    </row>
    <row r="269" spans="1:24" x14ac:dyDescent="0.2">
      <c r="A269" s="3">
        <v>268</v>
      </c>
      <c r="B269" t="s">
        <v>2657</v>
      </c>
      <c r="C269" s="5">
        <v>1988</v>
      </c>
      <c r="D269" t="s">
        <v>2658</v>
      </c>
      <c r="E269" t="s">
        <v>2659</v>
      </c>
      <c r="F269" t="s">
        <v>30</v>
      </c>
      <c r="G269" t="s">
        <v>2662</v>
      </c>
      <c r="H269" t="s">
        <v>312</v>
      </c>
      <c r="I269" s="5">
        <v>82</v>
      </c>
      <c r="J269" s="4">
        <v>8.1999999999999993</v>
      </c>
      <c r="K269" s="5">
        <v>82</v>
      </c>
      <c r="L269" s="5">
        <v>985232</v>
      </c>
      <c r="M269" s="5">
        <v>72</v>
      </c>
      <c r="N269" s="5">
        <v>83</v>
      </c>
      <c r="O269" s="5">
        <v>76</v>
      </c>
      <c r="P269" s="5">
        <v>90</v>
      </c>
      <c r="Q269" s="5">
        <v>676199</v>
      </c>
      <c r="R269" s="5">
        <v>82</v>
      </c>
      <c r="S269" s="5">
        <v>877027</v>
      </c>
      <c r="T269" s="5">
        <v>89</v>
      </c>
      <c r="U269" t="s">
        <v>253</v>
      </c>
      <c r="V269" s="2">
        <v>83</v>
      </c>
      <c r="W269" s="5">
        <f>Top_500_Movies_Ranked_by_Combined_Critics_and_Audience_Scores[[#This Row],[Critic_Rating_RT]]-Top_500_Movies_Ranked_by_Combined_Critics_and_Audience_Scores[[#This Row],[Audience_Rating]]</f>
        <v>-7</v>
      </c>
      <c r="X269" s="5">
        <f>FLOOR(Top_500_Movies_Ranked_by_Combined_Critics_and_Audience_Scores[[#This Row],[Year]],10)</f>
        <v>1980</v>
      </c>
    </row>
    <row r="270" spans="1:24" x14ac:dyDescent="0.2">
      <c r="A270" s="3">
        <v>269</v>
      </c>
      <c r="B270" t="s">
        <v>2667</v>
      </c>
      <c r="C270" s="5">
        <v>1991</v>
      </c>
      <c r="D270" t="s">
        <v>2668</v>
      </c>
      <c r="E270" t="s">
        <v>549</v>
      </c>
      <c r="F270" t="s">
        <v>30</v>
      </c>
      <c r="G270" t="s">
        <v>2671</v>
      </c>
      <c r="H270" t="s">
        <v>239</v>
      </c>
      <c r="I270" s="5">
        <v>83</v>
      </c>
      <c r="J270" s="4">
        <v>7.6</v>
      </c>
      <c r="K270" s="5">
        <v>76</v>
      </c>
      <c r="L270" s="5">
        <v>182168</v>
      </c>
      <c r="M270" s="5">
        <v>89</v>
      </c>
      <c r="N270" s="5">
        <v>82</v>
      </c>
      <c r="O270" s="5">
        <v>93</v>
      </c>
      <c r="P270" s="5">
        <v>80</v>
      </c>
      <c r="Q270" s="5">
        <v>233243</v>
      </c>
      <c r="R270" s="5">
        <v>84</v>
      </c>
      <c r="S270" s="5">
        <v>358609</v>
      </c>
      <c r="T270" s="5">
        <v>87</v>
      </c>
      <c r="U270" t="s">
        <v>2674</v>
      </c>
      <c r="V270" s="2">
        <v>83</v>
      </c>
      <c r="W270" s="5">
        <f>Top_500_Movies_Ranked_by_Combined_Critics_and_Audience_Scores[[#This Row],[Critic_Rating_RT]]-Top_500_Movies_Ranked_by_Combined_Critics_and_Audience_Scores[[#This Row],[Audience_Rating]]</f>
        <v>2</v>
      </c>
      <c r="X270" s="5">
        <f>FLOOR(Top_500_Movies_Ranked_by_Combined_Critics_and_Audience_Scores[[#This Row],[Year]],10)</f>
        <v>1990</v>
      </c>
    </row>
    <row r="271" spans="1:24" x14ac:dyDescent="0.2">
      <c r="A271" s="3">
        <v>270</v>
      </c>
      <c r="B271" t="s">
        <v>2677</v>
      </c>
      <c r="C271" s="5">
        <v>2014</v>
      </c>
      <c r="D271" t="s">
        <v>65</v>
      </c>
      <c r="E271" t="s">
        <v>2678</v>
      </c>
      <c r="F271" t="s">
        <v>2680</v>
      </c>
      <c r="G271" t="s">
        <v>2682</v>
      </c>
      <c r="H271" t="s">
        <v>2683</v>
      </c>
      <c r="I271" s="5">
        <v>83</v>
      </c>
      <c r="J271" s="4">
        <v>8</v>
      </c>
      <c r="K271" s="5">
        <v>80</v>
      </c>
      <c r="L271" s="5">
        <v>57337</v>
      </c>
      <c r="M271" s="5">
        <v>88</v>
      </c>
      <c r="N271" s="5">
        <v>84</v>
      </c>
      <c r="O271" s="5">
        <v>70</v>
      </c>
      <c r="P271" s="5">
        <v>81</v>
      </c>
      <c r="Q271" s="5">
        <v>18662</v>
      </c>
      <c r="R271" s="5">
        <v>84</v>
      </c>
      <c r="S271" s="5">
        <v>44413</v>
      </c>
      <c r="T271" s="5">
        <v>81</v>
      </c>
      <c r="U271" t="s">
        <v>75</v>
      </c>
      <c r="V271" s="2">
        <v>83</v>
      </c>
      <c r="W271" s="5">
        <f>Top_500_Movies_Ranked_by_Combined_Critics_and_Audience_Scores[[#This Row],[Critic_Rating_RT]]-Top_500_Movies_Ranked_by_Combined_Critics_and_Audience_Scores[[#This Row],[Audience_Rating]]</f>
        <v>3</v>
      </c>
      <c r="X271" s="5">
        <f>FLOOR(Top_500_Movies_Ranked_by_Combined_Critics_and_Audience_Scores[[#This Row],[Year]],10)</f>
        <v>2010</v>
      </c>
    </row>
    <row r="272" spans="1:24" x14ac:dyDescent="0.2">
      <c r="A272" s="3">
        <v>271</v>
      </c>
      <c r="B272" t="s">
        <v>2688</v>
      </c>
      <c r="C272" s="5">
        <v>2005</v>
      </c>
      <c r="D272" t="s">
        <v>211</v>
      </c>
      <c r="E272" t="s">
        <v>1326</v>
      </c>
      <c r="F272" t="s">
        <v>30</v>
      </c>
      <c r="G272" t="s">
        <v>2691</v>
      </c>
      <c r="H272" t="s">
        <v>614</v>
      </c>
      <c r="I272" s="5">
        <v>83</v>
      </c>
      <c r="J272" s="4">
        <v>7.7</v>
      </c>
      <c r="K272" s="5">
        <v>77</v>
      </c>
      <c r="L272" s="5">
        <v>399071</v>
      </c>
      <c r="M272" s="5">
        <v>87</v>
      </c>
      <c r="N272" s="5">
        <v>83</v>
      </c>
      <c r="O272" s="5">
        <v>148</v>
      </c>
      <c r="P272" s="5">
        <v>81</v>
      </c>
      <c r="Q272" s="5">
        <v>679747</v>
      </c>
      <c r="R272" s="5">
        <v>82</v>
      </c>
      <c r="S272" s="5">
        <v>998353</v>
      </c>
      <c r="T272" s="5">
        <v>88</v>
      </c>
      <c r="U272" t="s">
        <v>1858</v>
      </c>
      <c r="V272" s="2">
        <v>83</v>
      </c>
      <c r="W272" s="5">
        <f>Top_500_Movies_Ranked_by_Combined_Critics_and_Audience_Scores[[#This Row],[Critic_Rating_RT]]-Top_500_Movies_Ranked_by_Combined_Critics_and_Audience_Scores[[#This Row],[Audience_Rating]]</f>
        <v>2</v>
      </c>
      <c r="X272" s="5">
        <f>FLOOR(Top_500_Movies_Ranked_by_Combined_Critics_and_Audience_Scores[[#This Row],[Year]],10)</f>
        <v>2000</v>
      </c>
    </row>
    <row r="273" spans="1:24" x14ac:dyDescent="0.2">
      <c r="A273" s="3">
        <v>272</v>
      </c>
      <c r="B273" t="s">
        <v>2696</v>
      </c>
      <c r="C273" s="5">
        <v>1999</v>
      </c>
      <c r="D273" t="s">
        <v>65</v>
      </c>
      <c r="E273" t="s">
        <v>1768</v>
      </c>
      <c r="F273" t="s">
        <v>30</v>
      </c>
      <c r="G273" t="s">
        <v>2699</v>
      </c>
      <c r="H273" t="s">
        <v>312</v>
      </c>
      <c r="I273" s="5">
        <v>81</v>
      </c>
      <c r="J273" s="4">
        <v>8.8000000000000007</v>
      </c>
      <c r="K273" s="5">
        <v>88</v>
      </c>
      <c r="L273" s="5">
        <v>2444413</v>
      </c>
      <c r="M273" s="5">
        <v>67</v>
      </c>
      <c r="N273" s="5">
        <v>72</v>
      </c>
      <c r="O273" s="5">
        <v>120</v>
      </c>
      <c r="P273" s="5">
        <v>93</v>
      </c>
      <c r="Q273" s="5">
        <v>1908799</v>
      </c>
      <c r="R273" s="5">
        <v>86</v>
      </c>
      <c r="S273" s="5">
        <v>3533146</v>
      </c>
      <c r="T273" s="5">
        <v>92</v>
      </c>
      <c r="U273" t="s">
        <v>75</v>
      </c>
      <c r="V273" s="2">
        <v>83</v>
      </c>
      <c r="W273" s="5">
        <f>Top_500_Movies_Ranked_by_Combined_Critics_and_Audience_Scores[[#This Row],[Critic_Rating_RT]]-Top_500_Movies_Ranked_by_Combined_Critics_and_Audience_Scores[[#This Row],[Audience_Rating]]</f>
        <v>-21</v>
      </c>
      <c r="X273" s="5">
        <f>FLOOR(Top_500_Movies_Ranked_by_Combined_Critics_and_Audience_Scores[[#This Row],[Year]],10)</f>
        <v>1990</v>
      </c>
    </row>
    <row r="274" spans="1:24" x14ac:dyDescent="0.2">
      <c r="A274" s="3">
        <v>273</v>
      </c>
      <c r="B274" t="s">
        <v>2704</v>
      </c>
      <c r="C274" s="5">
        <v>1993</v>
      </c>
      <c r="D274" t="s">
        <v>2705</v>
      </c>
      <c r="E274" t="s">
        <v>2706</v>
      </c>
      <c r="F274" t="s">
        <v>30</v>
      </c>
      <c r="G274" t="s">
        <v>2709</v>
      </c>
      <c r="H274" t="s">
        <v>216</v>
      </c>
      <c r="I274" s="5">
        <v>82</v>
      </c>
      <c r="J274" s="4">
        <v>7.8</v>
      </c>
      <c r="K274" s="5">
        <v>78</v>
      </c>
      <c r="L274" s="5">
        <v>331366</v>
      </c>
      <c r="M274" s="5">
        <v>87</v>
      </c>
      <c r="N274" s="5">
        <v>83</v>
      </c>
      <c r="O274" s="5">
        <v>58</v>
      </c>
      <c r="P274" s="5">
        <v>85</v>
      </c>
      <c r="Q274" s="5">
        <v>249088</v>
      </c>
      <c r="R274" s="5">
        <v>78</v>
      </c>
      <c r="S274" s="5">
        <v>210713</v>
      </c>
      <c r="T274" s="5">
        <v>87</v>
      </c>
      <c r="U274" t="s">
        <v>617</v>
      </c>
      <c r="V274" s="2">
        <v>83</v>
      </c>
      <c r="W274" s="5">
        <f>Top_500_Movies_Ranked_by_Combined_Critics_and_Audience_Scores[[#This Row],[Critic_Rating_RT]]-Top_500_Movies_Ranked_by_Combined_Critics_and_Audience_Scores[[#This Row],[Audience_Rating]]</f>
        <v>-2</v>
      </c>
      <c r="X274" s="5">
        <f>FLOOR(Top_500_Movies_Ranked_by_Combined_Critics_and_Audience_Scores[[#This Row],[Year]],10)</f>
        <v>1990</v>
      </c>
    </row>
    <row r="275" spans="1:24" x14ac:dyDescent="0.2">
      <c r="A275" s="3">
        <v>274</v>
      </c>
      <c r="B275" t="s">
        <v>2714</v>
      </c>
      <c r="C275" s="5">
        <v>2012</v>
      </c>
      <c r="D275" t="s">
        <v>2715</v>
      </c>
      <c r="E275" t="s">
        <v>2716</v>
      </c>
      <c r="F275" t="s">
        <v>30</v>
      </c>
      <c r="G275" t="s">
        <v>2719</v>
      </c>
      <c r="H275" t="s">
        <v>335</v>
      </c>
      <c r="I275" s="5">
        <v>82</v>
      </c>
      <c r="J275" s="4">
        <v>8.1999999999999993</v>
      </c>
      <c r="K275" s="5">
        <v>82</v>
      </c>
      <c r="L275" s="5">
        <v>74554</v>
      </c>
      <c r="M275" s="5">
        <v>79</v>
      </c>
      <c r="N275" s="5">
        <v>80</v>
      </c>
      <c r="O275" s="5">
        <v>105</v>
      </c>
      <c r="P275" s="5">
        <v>88</v>
      </c>
      <c r="Q275" s="5">
        <v>32711</v>
      </c>
      <c r="R275" s="5">
        <v>82</v>
      </c>
      <c r="S275" s="5">
        <v>59199</v>
      </c>
      <c r="T275" s="5">
        <v>87</v>
      </c>
      <c r="U275" t="s">
        <v>75</v>
      </c>
      <c r="V275" s="2">
        <v>83</v>
      </c>
      <c r="W275" s="5">
        <f>Top_500_Movies_Ranked_by_Combined_Critics_and_Audience_Scores[[#This Row],[Critic_Rating_RT]]-Top_500_Movies_Ranked_by_Combined_Critics_and_Audience_Scores[[#This Row],[Audience_Rating]]</f>
        <v>-8</v>
      </c>
      <c r="X275" s="5">
        <f>FLOOR(Top_500_Movies_Ranked_by_Combined_Critics_and_Audience_Scores[[#This Row],[Year]],10)</f>
        <v>2010</v>
      </c>
    </row>
    <row r="276" spans="1:24" x14ac:dyDescent="0.2">
      <c r="A276" s="3">
        <v>275</v>
      </c>
      <c r="B276" t="s">
        <v>2724</v>
      </c>
      <c r="C276" s="5">
        <v>2019</v>
      </c>
      <c r="D276" t="s">
        <v>2725</v>
      </c>
      <c r="E276" t="s">
        <v>2726</v>
      </c>
      <c r="F276" t="s">
        <v>30</v>
      </c>
      <c r="G276" t="s">
        <v>4317</v>
      </c>
      <c r="H276" t="s">
        <v>4317</v>
      </c>
      <c r="I276" s="5">
        <v>82</v>
      </c>
      <c r="J276" s="4">
        <v>7.9</v>
      </c>
      <c r="K276" s="5">
        <v>79</v>
      </c>
      <c r="L276" s="5">
        <v>812389</v>
      </c>
      <c r="M276" s="5">
        <v>82</v>
      </c>
      <c r="N276" s="5">
        <v>83</v>
      </c>
      <c r="O276" s="5">
        <v>292</v>
      </c>
      <c r="P276" s="5">
        <v>88</v>
      </c>
      <c r="Q276" s="5">
        <v>1010904</v>
      </c>
      <c r="R276" s="5">
        <v>80</v>
      </c>
      <c r="S276" s="5">
        <v>2915105</v>
      </c>
      <c r="T276" s="5">
        <v>86</v>
      </c>
      <c r="U276" t="s">
        <v>253</v>
      </c>
      <c r="V276" s="2">
        <v>83</v>
      </c>
      <c r="W276" s="5">
        <f>Top_500_Movies_Ranked_by_Combined_Critics_and_Audience_Scores[[#This Row],[Critic_Rating_RT]]-Top_500_Movies_Ranked_by_Combined_Critics_and_Audience_Scores[[#This Row],[Audience_Rating]]</f>
        <v>-5</v>
      </c>
      <c r="X276" s="5">
        <f>FLOOR(Top_500_Movies_Ranked_by_Combined_Critics_and_Audience_Scores[[#This Row],[Year]],10)</f>
        <v>2010</v>
      </c>
    </row>
    <row r="277" spans="1:24" x14ac:dyDescent="0.2">
      <c r="A277" s="3">
        <v>276</v>
      </c>
      <c r="B277" t="s">
        <v>2733</v>
      </c>
      <c r="C277" s="5">
        <v>2001</v>
      </c>
      <c r="D277" t="s">
        <v>2734</v>
      </c>
      <c r="E277" t="s">
        <v>2735</v>
      </c>
      <c r="F277" t="s">
        <v>30</v>
      </c>
      <c r="G277" t="s">
        <v>2738</v>
      </c>
      <c r="H277" t="s">
        <v>2739</v>
      </c>
      <c r="I277" s="5">
        <v>83</v>
      </c>
      <c r="J277" s="4">
        <v>8</v>
      </c>
      <c r="K277" s="5">
        <v>80</v>
      </c>
      <c r="L277" s="5">
        <v>878010</v>
      </c>
      <c r="M277" s="5">
        <v>88</v>
      </c>
      <c r="N277" s="5">
        <v>80</v>
      </c>
      <c r="O277" s="5">
        <v>129</v>
      </c>
      <c r="P277" s="5">
        <v>79</v>
      </c>
      <c r="Q277" s="5">
        <v>21170832</v>
      </c>
      <c r="R277" s="5">
        <v>80</v>
      </c>
      <c r="S277" s="5">
        <v>1543362</v>
      </c>
      <c r="T277" s="5">
        <v>91</v>
      </c>
      <c r="U277" t="s">
        <v>2742</v>
      </c>
      <c r="V277" s="2">
        <v>83</v>
      </c>
      <c r="W277" s="5">
        <f>Top_500_Movies_Ranked_by_Combined_Critics_and_Audience_Scores[[#This Row],[Critic_Rating_RT]]-Top_500_Movies_Ranked_by_Combined_Critics_and_Audience_Scores[[#This Row],[Audience_Rating]]</f>
        <v>1</v>
      </c>
      <c r="X277" s="5">
        <f>FLOOR(Top_500_Movies_Ranked_by_Combined_Critics_and_Audience_Scores[[#This Row],[Year]],10)</f>
        <v>2000</v>
      </c>
    </row>
    <row r="278" spans="1:24" x14ac:dyDescent="0.2">
      <c r="A278" s="3">
        <v>277</v>
      </c>
      <c r="B278" t="s">
        <v>2745</v>
      </c>
      <c r="C278" s="5">
        <v>2020</v>
      </c>
      <c r="D278" t="s">
        <v>65</v>
      </c>
      <c r="E278" t="s">
        <v>2746</v>
      </c>
      <c r="F278" t="s">
        <v>30</v>
      </c>
      <c r="G278" t="s">
        <v>4317</v>
      </c>
      <c r="H278" t="s">
        <v>4317</v>
      </c>
      <c r="I278" s="5">
        <v>83</v>
      </c>
      <c r="J278" s="4">
        <v>7.4</v>
      </c>
      <c r="K278" s="5">
        <v>74</v>
      </c>
      <c r="L278" s="5">
        <v>103373</v>
      </c>
      <c r="M278" s="5">
        <v>89</v>
      </c>
      <c r="N278" s="5">
        <v>88</v>
      </c>
      <c r="O278" s="5">
        <v>191</v>
      </c>
      <c r="Q278" s="5">
        <v>151806</v>
      </c>
      <c r="R278" s="5">
        <v>82</v>
      </c>
      <c r="S278" s="5">
        <v>450850</v>
      </c>
      <c r="T278" s="5">
        <v>82</v>
      </c>
      <c r="U278" t="s">
        <v>4317</v>
      </c>
      <c r="V278" s="2">
        <v>83</v>
      </c>
      <c r="W278" s="5">
        <f>Top_500_Movies_Ranked_by_Combined_Critics_and_Audience_Scores[[#This Row],[Critic_Rating_RT]]-Top_500_Movies_Ranked_by_Combined_Critics_and_Audience_Scores[[#This Row],[Audience_Rating]]</f>
        <v>88</v>
      </c>
      <c r="X278" s="5">
        <f>FLOOR(Top_500_Movies_Ranked_by_Combined_Critics_and_Audience_Scores[[#This Row],[Year]],10)</f>
        <v>2020</v>
      </c>
    </row>
    <row r="279" spans="1:24" x14ac:dyDescent="0.2">
      <c r="A279" s="3">
        <v>278</v>
      </c>
      <c r="B279" t="s">
        <v>2752</v>
      </c>
      <c r="C279" s="5">
        <v>2014</v>
      </c>
      <c r="D279" t="s">
        <v>1161</v>
      </c>
      <c r="E279" t="s">
        <v>2753</v>
      </c>
      <c r="F279" t="s">
        <v>30</v>
      </c>
      <c r="G279" t="s">
        <v>2756</v>
      </c>
      <c r="H279" t="s">
        <v>2757</v>
      </c>
      <c r="I279" s="5">
        <v>83</v>
      </c>
      <c r="J279" s="4">
        <v>8</v>
      </c>
      <c r="K279" s="5">
        <v>80</v>
      </c>
      <c r="L279" s="5">
        <v>58960</v>
      </c>
      <c r="M279" s="5">
        <v>88</v>
      </c>
      <c r="N279" s="5">
        <v>84</v>
      </c>
      <c r="O279" s="5">
        <v>101</v>
      </c>
      <c r="P279" s="5">
        <v>84</v>
      </c>
      <c r="Q279" s="5">
        <v>28783</v>
      </c>
      <c r="R279" s="5">
        <v>80</v>
      </c>
      <c r="S279" s="5">
        <v>45653</v>
      </c>
      <c r="T279" s="5">
        <v>82</v>
      </c>
      <c r="U279" t="s">
        <v>75</v>
      </c>
      <c r="V279" s="2">
        <v>83</v>
      </c>
      <c r="W279" s="5">
        <f>Top_500_Movies_Ranked_by_Combined_Critics_and_Audience_Scores[[#This Row],[Critic_Rating_RT]]-Top_500_Movies_Ranked_by_Combined_Critics_and_Audience_Scores[[#This Row],[Audience_Rating]]</f>
        <v>0</v>
      </c>
      <c r="X279" s="5">
        <f>FLOOR(Top_500_Movies_Ranked_by_Combined_Critics_and_Audience_Scores[[#This Row],[Year]],10)</f>
        <v>2010</v>
      </c>
    </row>
    <row r="280" spans="1:24" x14ac:dyDescent="0.2">
      <c r="A280" s="3">
        <v>279</v>
      </c>
      <c r="B280" t="s">
        <v>2762</v>
      </c>
      <c r="C280" s="5">
        <v>2021</v>
      </c>
      <c r="D280" t="s">
        <v>2763</v>
      </c>
      <c r="E280" t="s">
        <v>2764</v>
      </c>
      <c r="F280" t="s">
        <v>2338</v>
      </c>
      <c r="G280" t="s">
        <v>4317</v>
      </c>
      <c r="H280" t="s">
        <v>4317</v>
      </c>
      <c r="I280" s="5">
        <v>83</v>
      </c>
      <c r="J280" s="4">
        <v>7.9</v>
      </c>
      <c r="K280" s="5">
        <v>79</v>
      </c>
      <c r="L280" s="5">
        <v>20464</v>
      </c>
      <c r="M280" s="5">
        <v>91</v>
      </c>
      <c r="N280" s="5">
        <v>87</v>
      </c>
      <c r="O280" s="5">
        <v>114</v>
      </c>
      <c r="Q280" s="5">
        <v>25799</v>
      </c>
      <c r="R280" s="5">
        <v>84</v>
      </c>
      <c r="S280" s="5">
        <v>76686</v>
      </c>
      <c r="T280" s="5">
        <v>74</v>
      </c>
      <c r="U280" t="s">
        <v>4317</v>
      </c>
      <c r="V280" s="2">
        <v>83</v>
      </c>
      <c r="W280" s="5">
        <f>Top_500_Movies_Ranked_by_Combined_Critics_and_Audience_Scores[[#This Row],[Critic_Rating_RT]]-Top_500_Movies_Ranked_by_Combined_Critics_and_Audience_Scores[[#This Row],[Audience_Rating]]</f>
        <v>87</v>
      </c>
      <c r="X280" s="5">
        <f>FLOOR(Top_500_Movies_Ranked_by_Combined_Critics_and_Audience_Scores[[#This Row],[Year]],10)</f>
        <v>2020</v>
      </c>
    </row>
    <row r="281" spans="1:24" x14ac:dyDescent="0.2">
      <c r="A281" s="3">
        <v>280</v>
      </c>
      <c r="B281" t="s">
        <v>2771</v>
      </c>
      <c r="C281" s="5">
        <v>2016</v>
      </c>
      <c r="D281" t="s">
        <v>2772</v>
      </c>
      <c r="E281" t="s">
        <v>2773</v>
      </c>
      <c r="F281" t="s">
        <v>30</v>
      </c>
      <c r="G281" t="s">
        <v>4317</v>
      </c>
      <c r="H281" t="s">
        <v>4317</v>
      </c>
      <c r="I281" s="5">
        <v>83</v>
      </c>
      <c r="J281" s="4">
        <v>7.6</v>
      </c>
      <c r="K281" s="5">
        <v>76</v>
      </c>
      <c r="L281" s="5">
        <v>263679</v>
      </c>
      <c r="M281" s="5">
        <v>88</v>
      </c>
      <c r="N281" s="5">
        <v>86</v>
      </c>
      <c r="O281" s="5">
        <v>178</v>
      </c>
      <c r="P281" s="5">
        <v>84</v>
      </c>
      <c r="Q281" s="5">
        <v>124126</v>
      </c>
      <c r="R281" s="5">
        <v>78</v>
      </c>
      <c r="S281" s="5">
        <v>290820</v>
      </c>
      <c r="T281" s="5">
        <v>86</v>
      </c>
      <c r="U281" t="s">
        <v>2778</v>
      </c>
      <c r="V281" s="2">
        <v>83</v>
      </c>
      <c r="W281" s="5">
        <f>Top_500_Movies_Ranked_by_Combined_Critics_and_Audience_Scores[[#This Row],[Critic_Rating_RT]]-Top_500_Movies_Ranked_by_Combined_Critics_and_Audience_Scores[[#This Row],[Audience_Rating]]</f>
        <v>2</v>
      </c>
      <c r="X281" s="5">
        <f>FLOOR(Top_500_Movies_Ranked_by_Combined_Critics_and_Audience_Scores[[#This Row],[Year]],10)</f>
        <v>2010</v>
      </c>
    </row>
    <row r="282" spans="1:24" x14ac:dyDescent="0.2">
      <c r="A282" s="3">
        <v>281</v>
      </c>
      <c r="B282" t="s">
        <v>2781</v>
      </c>
      <c r="C282" s="5">
        <v>2012</v>
      </c>
      <c r="D282" t="s">
        <v>126</v>
      </c>
      <c r="E282" t="s">
        <v>1458</v>
      </c>
      <c r="F282" t="s">
        <v>30</v>
      </c>
      <c r="G282" t="s">
        <v>2784</v>
      </c>
      <c r="H282" t="s">
        <v>614</v>
      </c>
      <c r="I282" s="5">
        <v>83</v>
      </c>
      <c r="J282" s="4">
        <v>7.8</v>
      </c>
      <c r="K282" s="5">
        <v>78</v>
      </c>
      <c r="L282" s="5">
        <v>373550</v>
      </c>
      <c r="M282" s="5">
        <v>84</v>
      </c>
      <c r="N282" s="5">
        <v>83</v>
      </c>
      <c r="O282" s="5">
        <v>193</v>
      </c>
      <c r="P282" s="5">
        <v>83</v>
      </c>
      <c r="Q282" s="5">
        <v>380053</v>
      </c>
      <c r="R282" s="5">
        <v>80</v>
      </c>
      <c r="S282" s="5">
        <v>859763</v>
      </c>
      <c r="T282" s="5">
        <v>90</v>
      </c>
      <c r="U282" t="s">
        <v>75</v>
      </c>
      <c r="V282" s="2">
        <v>83</v>
      </c>
      <c r="W282" s="5">
        <f>Top_500_Movies_Ranked_by_Combined_Critics_and_Audience_Scores[[#This Row],[Critic_Rating_RT]]-Top_500_Movies_Ranked_by_Combined_Critics_and_Audience_Scores[[#This Row],[Audience_Rating]]</f>
        <v>0</v>
      </c>
      <c r="X282" s="5">
        <f>FLOOR(Top_500_Movies_Ranked_by_Combined_Critics_and_Audience_Scores[[#This Row],[Year]],10)</f>
        <v>2010</v>
      </c>
    </row>
    <row r="283" spans="1:24" x14ac:dyDescent="0.2">
      <c r="A283" s="3">
        <v>282</v>
      </c>
      <c r="B283" t="s">
        <v>2789</v>
      </c>
      <c r="C283" s="5">
        <v>1999</v>
      </c>
      <c r="D283" t="s">
        <v>2790</v>
      </c>
      <c r="E283" t="s">
        <v>2063</v>
      </c>
      <c r="F283" t="s">
        <v>30</v>
      </c>
      <c r="G283" t="s">
        <v>2793</v>
      </c>
      <c r="H283" t="s">
        <v>2330</v>
      </c>
      <c r="I283" s="5">
        <v>83</v>
      </c>
      <c r="J283" s="4">
        <v>7.7</v>
      </c>
      <c r="K283" s="5">
        <v>77</v>
      </c>
      <c r="L283" s="5">
        <v>361221</v>
      </c>
      <c r="M283" s="5">
        <v>90</v>
      </c>
      <c r="N283" s="5">
        <v>85</v>
      </c>
      <c r="O283" s="5">
        <v>97</v>
      </c>
      <c r="P283" s="5">
        <v>83</v>
      </c>
      <c r="Q283" s="5">
        <v>311216</v>
      </c>
      <c r="R283" s="5">
        <v>82</v>
      </c>
      <c r="S283" s="5">
        <v>407637</v>
      </c>
      <c r="T283" s="5">
        <v>81</v>
      </c>
      <c r="U283" t="s">
        <v>253</v>
      </c>
      <c r="V283" s="2">
        <v>83</v>
      </c>
      <c r="W283" s="5">
        <f>Top_500_Movies_Ranked_by_Combined_Critics_and_Audience_Scores[[#This Row],[Critic_Rating_RT]]-Top_500_Movies_Ranked_by_Combined_Critics_and_Audience_Scores[[#This Row],[Audience_Rating]]</f>
        <v>2</v>
      </c>
      <c r="X283" s="5">
        <f>FLOOR(Top_500_Movies_Ranked_by_Combined_Critics_and_Audience_Scores[[#This Row],[Year]],10)</f>
        <v>1990</v>
      </c>
    </row>
    <row r="284" spans="1:24" x14ac:dyDescent="0.2">
      <c r="A284" s="3">
        <v>283</v>
      </c>
      <c r="B284" t="s">
        <v>2798</v>
      </c>
      <c r="C284" s="5">
        <v>1998</v>
      </c>
      <c r="D284" t="s">
        <v>992</v>
      </c>
      <c r="E284" t="s">
        <v>1458</v>
      </c>
      <c r="F284" t="s">
        <v>30</v>
      </c>
      <c r="G284" t="s">
        <v>2801</v>
      </c>
      <c r="H284" t="s">
        <v>2264</v>
      </c>
      <c r="I284" s="5">
        <v>82</v>
      </c>
      <c r="J284" s="4">
        <v>7.6</v>
      </c>
      <c r="K284" s="5">
        <v>76</v>
      </c>
      <c r="L284" s="5">
        <v>202326</v>
      </c>
      <c r="M284" s="5">
        <v>87</v>
      </c>
      <c r="N284" s="5">
        <v>83</v>
      </c>
      <c r="O284" s="5">
        <v>81</v>
      </c>
      <c r="P284" s="5">
        <v>86</v>
      </c>
      <c r="Q284" s="5">
        <v>248947</v>
      </c>
      <c r="R284" s="5">
        <v>78</v>
      </c>
      <c r="S284" s="5">
        <v>373878</v>
      </c>
      <c r="T284" s="5">
        <v>87</v>
      </c>
      <c r="U284" t="s">
        <v>660</v>
      </c>
      <c r="V284" s="2">
        <v>82.83</v>
      </c>
      <c r="W284" s="5">
        <f>Top_500_Movies_Ranked_by_Combined_Critics_and_Audience_Scores[[#This Row],[Critic_Rating_RT]]-Top_500_Movies_Ranked_by_Combined_Critics_and_Audience_Scores[[#This Row],[Audience_Rating]]</f>
        <v>-3</v>
      </c>
      <c r="X284" s="5">
        <f>FLOOR(Top_500_Movies_Ranked_by_Combined_Critics_and_Audience_Scores[[#This Row],[Year]],10)</f>
        <v>1990</v>
      </c>
    </row>
    <row r="285" spans="1:24" x14ac:dyDescent="0.2">
      <c r="A285" s="3">
        <v>284</v>
      </c>
      <c r="B285" t="s">
        <v>2807</v>
      </c>
      <c r="C285" s="5">
        <v>2007</v>
      </c>
      <c r="D285" t="s">
        <v>1161</v>
      </c>
      <c r="E285" t="s">
        <v>2808</v>
      </c>
      <c r="F285" t="s">
        <v>30</v>
      </c>
      <c r="G285" t="s">
        <v>2811</v>
      </c>
      <c r="H285" t="s">
        <v>353</v>
      </c>
      <c r="I285" s="5">
        <v>81</v>
      </c>
      <c r="J285" s="4">
        <v>8</v>
      </c>
      <c r="K285" s="5">
        <v>80</v>
      </c>
      <c r="L285" s="5">
        <v>38102</v>
      </c>
      <c r="M285" s="5">
        <v>83</v>
      </c>
      <c r="N285" s="5">
        <v>82</v>
      </c>
      <c r="O285" s="5">
        <v>67</v>
      </c>
      <c r="P285" s="5">
        <v>89</v>
      </c>
      <c r="Q285" s="5">
        <v>30025</v>
      </c>
      <c r="R285" s="5">
        <v>80</v>
      </c>
      <c r="S285" s="5">
        <v>31535</v>
      </c>
      <c r="T285" s="5">
        <v>83</v>
      </c>
      <c r="U285" t="s">
        <v>75</v>
      </c>
      <c r="V285" s="2">
        <v>82.83</v>
      </c>
      <c r="W285" s="5">
        <f>Top_500_Movies_Ranked_by_Combined_Critics_and_Audience_Scores[[#This Row],[Critic_Rating_RT]]-Top_500_Movies_Ranked_by_Combined_Critics_and_Audience_Scores[[#This Row],[Audience_Rating]]</f>
        <v>-7</v>
      </c>
      <c r="X285" s="5">
        <f>FLOOR(Top_500_Movies_Ranked_by_Combined_Critics_and_Audience_Scores[[#This Row],[Year]],10)</f>
        <v>2000</v>
      </c>
    </row>
    <row r="286" spans="1:24" x14ac:dyDescent="0.2">
      <c r="A286" s="3">
        <v>285</v>
      </c>
      <c r="B286" t="s">
        <v>2816</v>
      </c>
      <c r="C286" s="5">
        <v>1979</v>
      </c>
      <c r="D286" t="s">
        <v>1684</v>
      </c>
      <c r="E286" t="s">
        <v>2817</v>
      </c>
      <c r="F286" t="s">
        <v>30</v>
      </c>
      <c r="G286" t="s">
        <v>4317</v>
      </c>
      <c r="H286" t="s">
        <v>216</v>
      </c>
      <c r="I286" s="5">
        <v>82</v>
      </c>
      <c r="J286" s="4">
        <v>8</v>
      </c>
      <c r="K286" s="5">
        <v>80</v>
      </c>
      <c r="L286" s="5">
        <v>427854</v>
      </c>
      <c r="M286" s="5">
        <v>77</v>
      </c>
      <c r="N286" s="5">
        <v>82</v>
      </c>
      <c r="O286" s="5">
        <v>51</v>
      </c>
      <c r="P286" s="5">
        <v>89</v>
      </c>
      <c r="Q286" s="5">
        <v>278190</v>
      </c>
      <c r="R286" s="5">
        <v>80</v>
      </c>
      <c r="S286" s="5">
        <v>316121</v>
      </c>
      <c r="T286" s="5">
        <v>89</v>
      </c>
      <c r="U286" t="s">
        <v>2822</v>
      </c>
      <c r="V286" s="2">
        <v>82.83</v>
      </c>
      <c r="W286" s="5">
        <f>Top_500_Movies_Ranked_by_Combined_Critics_and_Audience_Scores[[#This Row],[Critic_Rating_RT]]-Top_500_Movies_Ranked_by_Combined_Critics_and_Audience_Scores[[#This Row],[Audience_Rating]]</f>
        <v>-7</v>
      </c>
      <c r="X286" s="5">
        <f>FLOOR(Top_500_Movies_Ranked_by_Combined_Critics_and_Audience_Scores[[#This Row],[Year]],10)</f>
        <v>1970</v>
      </c>
    </row>
    <row r="287" spans="1:24" x14ac:dyDescent="0.2">
      <c r="A287" s="3">
        <v>286</v>
      </c>
      <c r="B287" t="s">
        <v>2825</v>
      </c>
      <c r="C287" s="5">
        <v>2013</v>
      </c>
      <c r="D287" t="s">
        <v>2826</v>
      </c>
      <c r="E287" t="s">
        <v>141</v>
      </c>
      <c r="F287" t="s">
        <v>50</v>
      </c>
      <c r="G287" t="s">
        <v>2829</v>
      </c>
      <c r="H287" t="s">
        <v>145</v>
      </c>
      <c r="I287" s="5">
        <v>83</v>
      </c>
      <c r="J287" s="4">
        <v>7.8</v>
      </c>
      <c r="K287" s="5">
        <v>78</v>
      </c>
      <c r="L287" s="5">
        <v>105398</v>
      </c>
      <c r="M287" s="5">
        <v>83</v>
      </c>
      <c r="N287" s="5">
        <v>81</v>
      </c>
      <c r="O287" s="5">
        <v>127</v>
      </c>
      <c r="P287" s="5">
        <v>83</v>
      </c>
      <c r="Q287" s="5">
        <v>133289</v>
      </c>
      <c r="R287" s="5">
        <v>82</v>
      </c>
      <c r="S287" s="5">
        <v>353433</v>
      </c>
      <c r="T287" s="5">
        <v>90</v>
      </c>
      <c r="U287" t="s">
        <v>2832</v>
      </c>
      <c r="V287" s="2">
        <v>82.83</v>
      </c>
      <c r="W287" s="5">
        <f>Top_500_Movies_Ranked_by_Combined_Critics_and_Audience_Scores[[#This Row],[Critic_Rating_RT]]-Top_500_Movies_Ranked_by_Combined_Critics_and_Audience_Scores[[#This Row],[Audience_Rating]]</f>
        <v>-2</v>
      </c>
      <c r="X287" s="5">
        <f>FLOOR(Top_500_Movies_Ranked_by_Combined_Critics_and_Audience_Scores[[#This Row],[Year]],10)</f>
        <v>2010</v>
      </c>
    </row>
    <row r="288" spans="1:24" x14ac:dyDescent="0.2">
      <c r="A288" s="3">
        <v>287</v>
      </c>
      <c r="B288" t="s">
        <v>2835</v>
      </c>
      <c r="C288" s="5">
        <v>1967</v>
      </c>
      <c r="D288" t="s">
        <v>593</v>
      </c>
      <c r="E288" t="s">
        <v>2836</v>
      </c>
      <c r="F288" t="s">
        <v>30</v>
      </c>
      <c r="G288" t="s">
        <v>2839</v>
      </c>
      <c r="H288" t="s">
        <v>2840</v>
      </c>
      <c r="I288" s="5">
        <v>82</v>
      </c>
      <c r="J288" s="4">
        <v>7.7</v>
      </c>
      <c r="K288" s="5">
        <v>77</v>
      </c>
      <c r="L288" s="5">
        <v>124188</v>
      </c>
      <c r="M288" s="5">
        <v>86</v>
      </c>
      <c r="N288" s="5">
        <v>85</v>
      </c>
      <c r="O288" s="5">
        <v>51</v>
      </c>
      <c r="P288" s="5">
        <v>84</v>
      </c>
      <c r="Q288" s="5">
        <v>79491</v>
      </c>
      <c r="R288" s="5">
        <v>78</v>
      </c>
      <c r="S288" s="5">
        <v>124995</v>
      </c>
      <c r="T288" s="5">
        <v>87</v>
      </c>
      <c r="U288" t="s">
        <v>135</v>
      </c>
      <c r="V288" s="2">
        <v>82.83</v>
      </c>
      <c r="W288" s="5">
        <f>Top_500_Movies_Ranked_by_Combined_Critics_and_Audience_Scores[[#This Row],[Critic_Rating_RT]]-Top_500_Movies_Ranked_by_Combined_Critics_and_Audience_Scores[[#This Row],[Audience_Rating]]</f>
        <v>1</v>
      </c>
      <c r="X288" s="5">
        <f>FLOOR(Top_500_Movies_Ranked_by_Combined_Critics_and_Audience_Scores[[#This Row],[Year]],10)</f>
        <v>1960</v>
      </c>
    </row>
    <row r="289" spans="1:24" x14ac:dyDescent="0.2">
      <c r="A289" s="3">
        <v>288</v>
      </c>
      <c r="B289" t="s">
        <v>2845</v>
      </c>
      <c r="C289" s="5">
        <v>2016</v>
      </c>
      <c r="D289" t="s">
        <v>2846</v>
      </c>
      <c r="E289" t="s">
        <v>2847</v>
      </c>
      <c r="F289" t="s">
        <v>30</v>
      </c>
      <c r="G289" t="s">
        <v>4317</v>
      </c>
      <c r="H289" t="s">
        <v>4317</v>
      </c>
      <c r="I289" s="5">
        <v>82</v>
      </c>
      <c r="J289" s="4">
        <v>7.9</v>
      </c>
      <c r="K289" s="5">
        <v>79</v>
      </c>
      <c r="L289" s="5">
        <v>104227</v>
      </c>
      <c r="M289" s="5">
        <v>79</v>
      </c>
      <c r="N289" s="5">
        <v>80</v>
      </c>
      <c r="O289" s="5">
        <v>154</v>
      </c>
      <c r="P289" s="5">
        <v>88</v>
      </c>
      <c r="Q289" s="5">
        <v>102191</v>
      </c>
      <c r="R289" s="5">
        <v>80</v>
      </c>
      <c r="S289" s="5">
        <v>272265</v>
      </c>
      <c r="T289" s="5">
        <v>91</v>
      </c>
      <c r="U289" t="s">
        <v>75</v>
      </c>
      <c r="V289" s="2">
        <v>82.83</v>
      </c>
      <c r="W289" s="5">
        <f>Top_500_Movies_Ranked_by_Combined_Critics_and_Audience_Scores[[#This Row],[Critic_Rating_RT]]-Top_500_Movies_Ranked_by_Combined_Critics_and_Audience_Scores[[#This Row],[Audience_Rating]]</f>
        <v>-8</v>
      </c>
      <c r="X289" s="5">
        <f>FLOOR(Top_500_Movies_Ranked_by_Combined_Critics_and_Audience_Scores[[#This Row],[Year]],10)</f>
        <v>2010</v>
      </c>
    </row>
    <row r="290" spans="1:24" x14ac:dyDescent="0.2">
      <c r="A290" s="3">
        <v>289</v>
      </c>
      <c r="B290" t="s">
        <v>2854</v>
      </c>
      <c r="C290" s="5">
        <v>2009</v>
      </c>
      <c r="D290" t="s">
        <v>65</v>
      </c>
      <c r="E290" t="s">
        <v>330</v>
      </c>
      <c r="F290" t="s">
        <v>332</v>
      </c>
      <c r="G290" t="s">
        <v>2857</v>
      </c>
      <c r="H290" t="s">
        <v>2858</v>
      </c>
      <c r="I290" s="5">
        <v>83</v>
      </c>
      <c r="J290" s="4">
        <v>7.9</v>
      </c>
      <c r="K290" s="5">
        <v>79</v>
      </c>
      <c r="L290" s="5">
        <v>58907</v>
      </c>
      <c r="M290" s="5">
        <v>87</v>
      </c>
      <c r="N290" s="5">
        <v>83</v>
      </c>
      <c r="O290" s="5">
        <v>59</v>
      </c>
      <c r="P290" s="5">
        <v>81</v>
      </c>
      <c r="Q290" s="5">
        <v>17593</v>
      </c>
      <c r="R290" s="5">
        <v>82</v>
      </c>
      <c r="S290" s="5">
        <v>37114</v>
      </c>
      <c r="T290" s="5">
        <v>85</v>
      </c>
      <c r="U290" t="s">
        <v>325</v>
      </c>
      <c r="V290" s="2">
        <v>82.83</v>
      </c>
      <c r="W290" s="5">
        <f>Top_500_Movies_Ranked_by_Combined_Critics_and_Audience_Scores[[#This Row],[Critic_Rating_RT]]-Top_500_Movies_Ranked_by_Combined_Critics_and_Audience_Scores[[#This Row],[Audience_Rating]]</f>
        <v>2</v>
      </c>
      <c r="X290" s="5">
        <f>FLOOR(Top_500_Movies_Ranked_by_Combined_Critics_and_Audience_Scores[[#This Row],[Year]],10)</f>
        <v>2000</v>
      </c>
    </row>
    <row r="291" spans="1:24" x14ac:dyDescent="0.2">
      <c r="A291" s="3">
        <v>290</v>
      </c>
      <c r="B291" t="s">
        <v>2863</v>
      </c>
      <c r="C291" s="5">
        <v>2004</v>
      </c>
      <c r="D291" t="s">
        <v>80</v>
      </c>
      <c r="E291" t="s">
        <v>2864</v>
      </c>
      <c r="F291" t="s">
        <v>30</v>
      </c>
      <c r="G291" t="s">
        <v>2867</v>
      </c>
      <c r="H291" t="s">
        <v>239</v>
      </c>
      <c r="I291" s="5">
        <v>82</v>
      </c>
      <c r="J291" s="4">
        <v>8.1</v>
      </c>
      <c r="K291" s="5">
        <v>81</v>
      </c>
      <c r="L291" s="5">
        <v>382301</v>
      </c>
      <c r="M291" s="5">
        <v>79</v>
      </c>
      <c r="N291" s="5">
        <v>80</v>
      </c>
      <c r="O291" s="5">
        <v>107</v>
      </c>
      <c r="P291" s="5">
        <v>89</v>
      </c>
      <c r="Q291" s="5">
        <v>198334</v>
      </c>
      <c r="R291" s="5">
        <v>76</v>
      </c>
      <c r="S291" s="5">
        <v>111662</v>
      </c>
      <c r="T291" s="5">
        <v>92</v>
      </c>
      <c r="U291" t="s">
        <v>170</v>
      </c>
      <c r="V291" s="2">
        <v>82.83</v>
      </c>
      <c r="W291" s="5">
        <f>Top_500_Movies_Ranked_by_Combined_Critics_and_Audience_Scores[[#This Row],[Critic_Rating_RT]]-Top_500_Movies_Ranked_by_Combined_Critics_and_Audience_Scores[[#This Row],[Audience_Rating]]</f>
        <v>-9</v>
      </c>
      <c r="X291" s="5">
        <f>FLOOR(Top_500_Movies_Ranked_by_Combined_Critics_and_Audience_Scores[[#This Row],[Year]],10)</f>
        <v>2000</v>
      </c>
    </row>
    <row r="292" spans="1:24" x14ac:dyDescent="0.2">
      <c r="A292" s="3">
        <v>291</v>
      </c>
      <c r="B292" t="s">
        <v>2872</v>
      </c>
      <c r="C292" s="5">
        <v>2017</v>
      </c>
      <c r="D292" t="s">
        <v>65</v>
      </c>
      <c r="E292" t="s">
        <v>2873</v>
      </c>
      <c r="F292" t="s">
        <v>30</v>
      </c>
      <c r="G292" t="s">
        <v>4317</v>
      </c>
      <c r="H292" t="s">
        <v>4317</v>
      </c>
      <c r="I292" s="5">
        <v>84</v>
      </c>
      <c r="J292" s="4">
        <v>7.6</v>
      </c>
      <c r="K292" s="5">
        <v>76</v>
      </c>
      <c r="L292" s="5">
        <v>138468</v>
      </c>
      <c r="M292" s="5">
        <v>92</v>
      </c>
      <c r="N292" s="5">
        <v>89</v>
      </c>
      <c r="O292" s="5">
        <v>201</v>
      </c>
      <c r="P292" s="5">
        <v>78</v>
      </c>
      <c r="Q292" s="5">
        <v>269777</v>
      </c>
      <c r="R292" s="5">
        <v>82</v>
      </c>
      <c r="S292" s="5">
        <v>781527</v>
      </c>
      <c r="T292" s="5">
        <v>80</v>
      </c>
      <c r="U292" t="s">
        <v>75</v>
      </c>
      <c r="V292" s="2">
        <v>82.83</v>
      </c>
      <c r="W292" s="5">
        <f>Top_500_Movies_Ranked_by_Combined_Critics_and_Audience_Scores[[#This Row],[Critic_Rating_RT]]-Top_500_Movies_Ranked_by_Combined_Critics_and_Audience_Scores[[#This Row],[Audience_Rating]]</f>
        <v>11</v>
      </c>
      <c r="X292" s="5">
        <f>FLOOR(Top_500_Movies_Ranked_by_Combined_Critics_and_Audience_Scores[[#This Row],[Year]],10)</f>
        <v>2010</v>
      </c>
    </row>
    <row r="293" spans="1:24" x14ac:dyDescent="0.2">
      <c r="A293" s="3">
        <v>292</v>
      </c>
      <c r="B293" t="s">
        <v>2880</v>
      </c>
      <c r="C293" s="5">
        <v>2017</v>
      </c>
      <c r="D293" t="s">
        <v>1412</v>
      </c>
      <c r="E293" t="s">
        <v>2881</v>
      </c>
      <c r="F293" t="s">
        <v>30</v>
      </c>
      <c r="G293" t="s">
        <v>4317</v>
      </c>
      <c r="H293" t="s">
        <v>4317</v>
      </c>
      <c r="I293" s="5">
        <v>82</v>
      </c>
      <c r="J293" s="4">
        <v>7.6</v>
      </c>
      <c r="K293" s="5">
        <v>76</v>
      </c>
      <c r="L293" s="5">
        <v>38105</v>
      </c>
      <c r="M293" s="5">
        <v>85</v>
      </c>
      <c r="N293" s="5">
        <v>81</v>
      </c>
      <c r="O293" s="5">
        <v>79</v>
      </c>
      <c r="P293" s="5">
        <v>84</v>
      </c>
      <c r="Q293" s="5">
        <v>39645</v>
      </c>
      <c r="R293" s="5">
        <v>80</v>
      </c>
      <c r="S293" s="5">
        <v>109702</v>
      </c>
      <c r="T293" s="5">
        <v>91</v>
      </c>
      <c r="U293" t="s">
        <v>2886</v>
      </c>
      <c r="V293" s="2">
        <v>82.83</v>
      </c>
      <c r="W293" s="5">
        <f>Top_500_Movies_Ranked_by_Combined_Critics_and_Audience_Scores[[#This Row],[Critic_Rating_RT]]-Top_500_Movies_Ranked_by_Combined_Critics_and_Audience_Scores[[#This Row],[Audience_Rating]]</f>
        <v>-3</v>
      </c>
      <c r="X293" s="5">
        <f>FLOOR(Top_500_Movies_Ranked_by_Combined_Critics_and_Audience_Scores[[#This Row],[Year]],10)</f>
        <v>2010</v>
      </c>
    </row>
    <row r="294" spans="1:24" x14ac:dyDescent="0.2">
      <c r="A294" s="3">
        <v>293</v>
      </c>
      <c r="B294" t="s">
        <v>2889</v>
      </c>
      <c r="C294" s="5">
        <v>2017</v>
      </c>
      <c r="D294" t="s">
        <v>2890</v>
      </c>
      <c r="E294" t="s">
        <v>2891</v>
      </c>
      <c r="F294" t="s">
        <v>30</v>
      </c>
      <c r="G294" t="s">
        <v>4317</v>
      </c>
      <c r="H294" t="s">
        <v>4317</v>
      </c>
      <c r="I294" s="5">
        <v>83</v>
      </c>
      <c r="J294" s="4">
        <v>7.8</v>
      </c>
      <c r="K294" s="5">
        <v>78</v>
      </c>
      <c r="L294" s="5">
        <v>753306</v>
      </c>
      <c r="M294" s="5">
        <v>85</v>
      </c>
      <c r="N294" s="5">
        <v>84</v>
      </c>
      <c r="O294" s="5">
        <v>250</v>
      </c>
      <c r="P294" s="5">
        <v>83</v>
      </c>
      <c r="Q294" s="5">
        <v>1085375</v>
      </c>
      <c r="R294" s="5">
        <v>82</v>
      </c>
      <c r="S294" s="5">
        <v>3098595</v>
      </c>
      <c r="T294" s="5">
        <v>85</v>
      </c>
      <c r="U294" t="s">
        <v>2896</v>
      </c>
      <c r="V294" s="2">
        <v>82.83</v>
      </c>
      <c r="W294" s="5">
        <f>Top_500_Movies_Ranked_by_Combined_Critics_and_Audience_Scores[[#This Row],[Critic_Rating_RT]]-Top_500_Movies_Ranked_by_Combined_Critics_and_Audience_Scores[[#This Row],[Audience_Rating]]</f>
        <v>1</v>
      </c>
      <c r="X294" s="5">
        <f>FLOOR(Top_500_Movies_Ranked_by_Combined_Critics_and_Audience_Scores[[#This Row],[Year]],10)</f>
        <v>2010</v>
      </c>
    </row>
    <row r="295" spans="1:24" x14ac:dyDescent="0.2">
      <c r="A295" s="3">
        <v>294</v>
      </c>
      <c r="B295" t="s">
        <v>4332</v>
      </c>
      <c r="C295" s="5">
        <v>2001</v>
      </c>
      <c r="D295" t="s">
        <v>234</v>
      </c>
      <c r="E295" t="s">
        <v>2900</v>
      </c>
      <c r="F295" t="s">
        <v>321</v>
      </c>
      <c r="G295" t="s">
        <v>2903</v>
      </c>
      <c r="H295" t="s">
        <v>118</v>
      </c>
      <c r="I295" s="5">
        <v>82</v>
      </c>
      <c r="J295" s="4">
        <v>8.3000000000000007</v>
      </c>
      <c r="K295" s="5">
        <v>83</v>
      </c>
      <c r="L295" s="5">
        <v>815152</v>
      </c>
      <c r="M295" s="5">
        <v>70</v>
      </c>
      <c r="N295" s="5">
        <v>79</v>
      </c>
      <c r="O295" s="5">
        <v>124</v>
      </c>
      <c r="P295" s="5">
        <v>91</v>
      </c>
      <c r="Q295" s="5">
        <v>621390</v>
      </c>
      <c r="R295" s="5">
        <v>84</v>
      </c>
      <c r="S295" s="5">
        <v>925105</v>
      </c>
      <c r="T295" s="5">
        <v>90</v>
      </c>
      <c r="U295" t="s">
        <v>4317</v>
      </c>
      <c r="V295" s="2">
        <v>82.83</v>
      </c>
      <c r="W295" s="5">
        <f>Top_500_Movies_Ranked_by_Combined_Critics_and_Audience_Scores[[#This Row],[Critic_Rating_RT]]-Top_500_Movies_Ranked_by_Combined_Critics_and_Audience_Scores[[#This Row],[Audience_Rating]]</f>
        <v>-12</v>
      </c>
      <c r="X295" s="5">
        <f>FLOOR(Top_500_Movies_Ranked_by_Combined_Critics_and_Audience_Scores[[#This Row],[Year]],10)</f>
        <v>2000</v>
      </c>
    </row>
    <row r="296" spans="1:24" x14ac:dyDescent="0.2">
      <c r="A296" s="3">
        <v>295</v>
      </c>
      <c r="B296" t="s">
        <v>2908</v>
      </c>
      <c r="C296" s="5">
        <v>2019</v>
      </c>
      <c r="D296" t="s">
        <v>992</v>
      </c>
      <c r="E296" t="s">
        <v>2909</v>
      </c>
      <c r="F296" t="s">
        <v>30</v>
      </c>
      <c r="G296" t="s">
        <v>4317</v>
      </c>
      <c r="H296" t="s">
        <v>4317</v>
      </c>
      <c r="I296" s="5">
        <v>83</v>
      </c>
      <c r="J296" s="4">
        <v>7.5</v>
      </c>
      <c r="K296" s="5">
        <v>75</v>
      </c>
      <c r="L296" s="5">
        <v>73622</v>
      </c>
      <c r="M296" s="5">
        <v>89</v>
      </c>
      <c r="N296" s="5">
        <v>86</v>
      </c>
      <c r="O296" s="5">
        <v>190</v>
      </c>
      <c r="P296" s="5">
        <v>83</v>
      </c>
      <c r="Q296" s="5">
        <v>103916</v>
      </c>
      <c r="R296" s="5">
        <v>82</v>
      </c>
      <c r="S296" s="5">
        <v>299538</v>
      </c>
      <c r="T296" s="5">
        <v>82</v>
      </c>
      <c r="U296" t="s">
        <v>75</v>
      </c>
      <c r="V296" s="2">
        <v>82.83</v>
      </c>
      <c r="W296" s="5">
        <f>Top_500_Movies_Ranked_by_Combined_Critics_and_Audience_Scores[[#This Row],[Critic_Rating_RT]]-Top_500_Movies_Ranked_by_Combined_Critics_and_Audience_Scores[[#This Row],[Audience_Rating]]</f>
        <v>3</v>
      </c>
      <c r="X296" s="5">
        <f>FLOOR(Top_500_Movies_Ranked_by_Combined_Critics_and_Audience_Scores[[#This Row],[Year]],10)</f>
        <v>2010</v>
      </c>
    </row>
    <row r="297" spans="1:24" x14ac:dyDescent="0.2">
      <c r="A297" s="3">
        <v>296</v>
      </c>
      <c r="B297" t="s">
        <v>2916</v>
      </c>
      <c r="C297" s="5">
        <v>2020</v>
      </c>
      <c r="D297" t="s">
        <v>2917</v>
      </c>
      <c r="E297" t="s">
        <v>1394</v>
      </c>
      <c r="F297" t="s">
        <v>30</v>
      </c>
      <c r="G297" t="s">
        <v>4317</v>
      </c>
      <c r="H297" t="s">
        <v>4317</v>
      </c>
      <c r="I297" s="5">
        <v>82</v>
      </c>
      <c r="J297" s="4">
        <v>8</v>
      </c>
      <c r="K297" s="5">
        <v>80</v>
      </c>
      <c r="L297" s="5">
        <v>405577</v>
      </c>
      <c r="M297" s="5">
        <v>83</v>
      </c>
      <c r="N297" s="5">
        <v>83</v>
      </c>
      <c r="O297" s="5">
        <v>148</v>
      </c>
      <c r="P297" s="5">
        <v>86</v>
      </c>
      <c r="Q297" s="5">
        <v>576362</v>
      </c>
      <c r="R297" s="5">
        <v>78</v>
      </c>
      <c r="S297" s="5">
        <v>1712850</v>
      </c>
      <c r="T297" s="5">
        <v>87</v>
      </c>
      <c r="U297" t="s">
        <v>935</v>
      </c>
      <c r="V297" s="2">
        <v>82.83</v>
      </c>
      <c r="W297" s="5">
        <f>Top_500_Movies_Ranked_by_Combined_Critics_and_Audience_Scores[[#This Row],[Critic_Rating_RT]]-Top_500_Movies_Ranked_by_Combined_Critics_and_Audience_Scores[[#This Row],[Audience_Rating]]</f>
        <v>-3</v>
      </c>
      <c r="X297" s="5">
        <f>FLOOR(Top_500_Movies_Ranked_by_Combined_Critics_and_Audience_Scores[[#This Row],[Year]],10)</f>
        <v>2020</v>
      </c>
    </row>
    <row r="298" spans="1:24" x14ac:dyDescent="0.2">
      <c r="A298" s="3">
        <v>297</v>
      </c>
      <c r="B298" t="s">
        <v>2924</v>
      </c>
      <c r="C298" s="5">
        <v>1952</v>
      </c>
      <c r="D298" t="s">
        <v>2925</v>
      </c>
      <c r="E298" t="s">
        <v>2926</v>
      </c>
      <c r="F298" t="s">
        <v>30</v>
      </c>
      <c r="G298" t="s">
        <v>2929</v>
      </c>
      <c r="H298" t="s">
        <v>167</v>
      </c>
      <c r="I298" s="5">
        <v>82</v>
      </c>
      <c r="J298" s="4">
        <v>7.9</v>
      </c>
      <c r="K298" s="5">
        <v>79</v>
      </c>
      <c r="L298" s="5">
        <v>113131</v>
      </c>
      <c r="M298" s="5">
        <v>89</v>
      </c>
      <c r="N298" s="5">
        <v>88</v>
      </c>
      <c r="O298" s="5">
        <v>63</v>
      </c>
      <c r="P298" s="5">
        <v>86</v>
      </c>
      <c r="Q298" s="5">
        <v>40999</v>
      </c>
      <c r="R298" s="5">
        <v>80</v>
      </c>
      <c r="S298" s="5">
        <v>71815</v>
      </c>
      <c r="T298" s="5">
        <v>75</v>
      </c>
      <c r="U298" t="s">
        <v>75</v>
      </c>
      <c r="V298" s="2">
        <v>82.83</v>
      </c>
      <c r="W298" s="5">
        <f>Top_500_Movies_Ranked_by_Combined_Critics_and_Audience_Scores[[#This Row],[Critic_Rating_RT]]-Top_500_Movies_Ranked_by_Combined_Critics_and_Audience_Scores[[#This Row],[Audience_Rating]]</f>
        <v>2</v>
      </c>
      <c r="X298" s="5">
        <f>FLOOR(Top_500_Movies_Ranked_by_Combined_Critics_and_Audience_Scores[[#This Row],[Year]],10)</f>
        <v>1950</v>
      </c>
    </row>
    <row r="299" spans="1:24" x14ac:dyDescent="0.2">
      <c r="A299" s="3">
        <v>298</v>
      </c>
      <c r="B299" t="s">
        <v>2934</v>
      </c>
      <c r="C299" s="5">
        <v>2009</v>
      </c>
      <c r="D299" t="s">
        <v>2935</v>
      </c>
      <c r="E299" t="s">
        <v>1458</v>
      </c>
      <c r="F299" t="s">
        <v>30</v>
      </c>
      <c r="G299" t="s">
        <v>2938</v>
      </c>
      <c r="H299" t="s">
        <v>312</v>
      </c>
      <c r="I299" s="5">
        <v>83</v>
      </c>
      <c r="J299" s="4">
        <v>7.9</v>
      </c>
      <c r="K299" s="5">
        <v>79</v>
      </c>
      <c r="L299" s="5">
        <v>283948</v>
      </c>
      <c r="M299" s="5">
        <v>83</v>
      </c>
      <c r="N299" s="5">
        <v>80</v>
      </c>
      <c r="O299" s="5">
        <v>170</v>
      </c>
      <c r="P299" s="5">
        <v>83</v>
      </c>
      <c r="Q299" s="5">
        <v>705851</v>
      </c>
      <c r="R299" s="5">
        <v>86</v>
      </c>
      <c r="S299" s="5">
        <v>1810535</v>
      </c>
      <c r="T299" s="5">
        <v>86</v>
      </c>
      <c r="U299" t="s">
        <v>444</v>
      </c>
      <c r="V299" s="2">
        <v>82.83</v>
      </c>
      <c r="W299" s="5">
        <f>Top_500_Movies_Ranked_by_Combined_Critics_and_Audience_Scores[[#This Row],[Critic_Rating_RT]]-Top_500_Movies_Ranked_by_Combined_Critics_and_Audience_Scores[[#This Row],[Audience_Rating]]</f>
        <v>-3</v>
      </c>
      <c r="X299" s="5">
        <f>FLOOR(Top_500_Movies_Ranked_by_Combined_Critics_and_Audience_Scores[[#This Row],[Year]],10)</f>
        <v>2000</v>
      </c>
    </row>
    <row r="300" spans="1:24" x14ac:dyDescent="0.2">
      <c r="A300" s="3">
        <v>299</v>
      </c>
      <c r="B300" t="s">
        <v>2943</v>
      </c>
      <c r="C300" s="5">
        <v>2015</v>
      </c>
      <c r="D300" t="s">
        <v>65</v>
      </c>
      <c r="E300" t="s">
        <v>2944</v>
      </c>
      <c r="F300" t="s">
        <v>856</v>
      </c>
      <c r="G300" t="s">
        <v>2947</v>
      </c>
      <c r="H300" t="s">
        <v>2948</v>
      </c>
      <c r="I300" s="5">
        <v>82</v>
      </c>
      <c r="J300" s="4">
        <v>7.8</v>
      </c>
      <c r="K300" s="5">
        <v>78</v>
      </c>
      <c r="L300" s="5">
        <v>18170</v>
      </c>
      <c r="M300" s="5">
        <v>82</v>
      </c>
      <c r="N300" s="5">
        <v>81</v>
      </c>
      <c r="O300" s="5">
        <v>64</v>
      </c>
      <c r="P300" s="5">
        <v>87</v>
      </c>
      <c r="Q300" s="5">
        <v>37837</v>
      </c>
      <c r="R300" s="5">
        <v>84</v>
      </c>
      <c r="S300" s="5">
        <v>109131</v>
      </c>
      <c r="T300" s="5">
        <v>85</v>
      </c>
      <c r="U300" t="s">
        <v>1186</v>
      </c>
      <c r="V300" s="2">
        <v>82.83</v>
      </c>
      <c r="W300" s="5">
        <f>Top_500_Movies_Ranked_by_Combined_Critics_and_Audience_Scores[[#This Row],[Critic_Rating_RT]]-Top_500_Movies_Ranked_by_Combined_Critics_and_Audience_Scores[[#This Row],[Audience_Rating]]</f>
        <v>-6</v>
      </c>
      <c r="X300" s="5">
        <f>FLOOR(Top_500_Movies_Ranked_by_Combined_Critics_and_Audience_Scores[[#This Row],[Year]],10)</f>
        <v>2010</v>
      </c>
    </row>
    <row r="301" spans="1:24" x14ac:dyDescent="0.2">
      <c r="A301" s="3">
        <v>300</v>
      </c>
      <c r="B301" t="s">
        <v>2953</v>
      </c>
      <c r="C301" s="5">
        <v>2023</v>
      </c>
      <c r="D301" t="s">
        <v>2954</v>
      </c>
      <c r="E301" t="s">
        <v>2955</v>
      </c>
      <c r="F301" t="s">
        <v>50</v>
      </c>
      <c r="G301" t="s">
        <v>4317</v>
      </c>
      <c r="H301" t="s">
        <v>4317</v>
      </c>
      <c r="I301" s="5">
        <v>83</v>
      </c>
      <c r="J301" s="4">
        <v>7.7</v>
      </c>
      <c r="K301" s="5">
        <v>77</v>
      </c>
      <c r="L301" s="5">
        <v>166961</v>
      </c>
      <c r="M301" s="5">
        <v>81</v>
      </c>
      <c r="N301" s="5">
        <v>84</v>
      </c>
      <c r="O301" s="5">
        <v>132</v>
      </c>
      <c r="Q301" s="5">
        <v>237844</v>
      </c>
      <c r="R301" s="5">
        <v>82</v>
      </c>
      <c r="S301" s="5">
        <v>692084</v>
      </c>
      <c r="T301" s="5">
        <v>90</v>
      </c>
      <c r="U301" t="s">
        <v>885</v>
      </c>
      <c r="V301" s="2">
        <v>82.8</v>
      </c>
      <c r="W301" s="5">
        <f>Top_500_Movies_Ranked_by_Combined_Critics_and_Audience_Scores[[#This Row],[Critic_Rating_RT]]-Top_500_Movies_Ranked_by_Combined_Critics_and_Audience_Scores[[#This Row],[Audience_Rating]]</f>
        <v>84</v>
      </c>
      <c r="X301" s="5">
        <f>FLOOR(Top_500_Movies_Ranked_by_Combined_Critics_and_Audience_Scores[[#This Row],[Year]],10)</f>
        <v>2020</v>
      </c>
    </row>
    <row r="302" spans="1:24" x14ac:dyDescent="0.2">
      <c r="A302" s="3">
        <v>301</v>
      </c>
      <c r="B302" t="s">
        <v>2963</v>
      </c>
      <c r="C302" s="5">
        <v>1922</v>
      </c>
      <c r="D302" t="s">
        <v>2964</v>
      </c>
      <c r="E302" t="s">
        <v>2965</v>
      </c>
      <c r="F302" t="s">
        <v>374</v>
      </c>
      <c r="G302" t="s">
        <v>2499</v>
      </c>
      <c r="H302" t="s">
        <v>2968</v>
      </c>
      <c r="I302" s="5">
        <v>81</v>
      </c>
      <c r="J302" s="4">
        <v>7.8</v>
      </c>
      <c r="K302" s="5">
        <v>78</v>
      </c>
      <c r="L302" s="5">
        <v>118037</v>
      </c>
      <c r="N302" s="5">
        <v>91</v>
      </c>
      <c r="O302" s="5">
        <v>76</v>
      </c>
      <c r="P302" s="5">
        <v>84</v>
      </c>
      <c r="Q302" s="5">
        <v>142118</v>
      </c>
      <c r="R302" s="5">
        <v>76</v>
      </c>
      <c r="S302" s="5">
        <v>329860</v>
      </c>
      <c r="T302" s="5">
        <v>85</v>
      </c>
      <c r="U302" t="s">
        <v>75</v>
      </c>
      <c r="V302" s="2">
        <v>82.8</v>
      </c>
      <c r="W302" s="5">
        <f>Top_500_Movies_Ranked_by_Combined_Critics_and_Audience_Scores[[#This Row],[Critic_Rating_RT]]-Top_500_Movies_Ranked_by_Combined_Critics_and_Audience_Scores[[#This Row],[Audience_Rating]]</f>
        <v>7</v>
      </c>
      <c r="X302" s="5">
        <f>FLOOR(Top_500_Movies_Ranked_by_Combined_Critics_and_Audience_Scores[[#This Row],[Year]],10)</f>
        <v>1920</v>
      </c>
    </row>
    <row r="303" spans="1:24" x14ac:dyDescent="0.2">
      <c r="A303" s="3">
        <v>302</v>
      </c>
      <c r="B303" t="s">
        <v>2973</v>
      </c>
      <c r="C303" s="5">
        <v>2023</v>
      </c>
      <c r="D303" t="s">
        <v>2974</v>
      </c>
      <c r="E303" t="s">
        <v>2975</v>
      </c>
      <c r="F303" t="s">
        <v>189</v>
      </c>
      <c r="G303" t="s">
        <v>4317</v>
      </c>
      <c r="H303" t="s">
        <v>4317</v>
      </c>
      <c r="I303" s="5">
        <v>82</v>
      </c>
      <c r="J303" s="4">
        <v>7.3</v>
      </c>
      <c r="K303" s="5">
        <v>73</v>
      </c>
      <c r="L303" s="5">
        <v>16724</v>
      </c>
      <c r="M303" s="5">
        <v>91</v>
      </c>
      <c r="N303" s="5">
        <v>84</v>
      </c>
      <c r="O303" s="5">
        <v>85</v>
      </c>
      <c r="Q303" s="5">
        <v>64020</v>
      </c>
      <c r="R303" s="5">
        <v>82</v>
      </c>
      <c r="S303" s="5">
        <v>192062</v>
      </c>
      <c r="T303" s="5">
        <v>84</v>
      </c>
      <c r="U303" t="s">
        <v>2397</v>
      </c>
      <c r="V303" s="2">
        <v>82.8</v>
      </c>
      <c r="W303" s="5">
        <f>Top_500_Movies_Ranked_by_Combined_Critics_and_Audience_Scores[[#This Row],[Critic_Rating_RT]]-Top_500_Movies_Ranked_by_Combined_Critics_and_Audience_Scores[[#This Row],[Audience_Rating]]</f>
        <v>84</v>
      </c>
      <c r="X303" s="5">
        <f>FLOOR(Top_500_Movies_Ranked_by_Combined_Critics_and_Audience_Scores[[#This Row],[Year]],10)</f>
        <v>2020</v>
      </c>
    </row>
    <row r="304" spans="1:24" x14ac:dyDescent="0.2">
      <c r="A304" s="3">
        <v>303</v>
      </c>
      <c r="B304" t="s">
        <v>2983</v>
      </c>
      <c r="C304" s="5">
        <v>2021</v>
      </c>
      <c r="D304" t="s">
        <v>2139</v>
      </c>
      <c r="E304" t="s">
        <v>2984</v>
      </c>
      <c r="F304" t="s">
        <v>2986</v>
      </c>
      <c r="G304" t="s">
        <v>4317</v>
      </c>
      <c r="H304" t="s">
        <v>4317</v>
      </c>
      <c r="I304" s="5">
        <v>83</v>
      </c>
      <c r="J304" s="4">
        <v>7.7</v>
      </c>
      <c r="K304" s="5">
        <v>77</v>
      </c>
      <c r="L304" s="5">
        <v>109990</v>
      </c>
      <c r="M304" s="5">
        <v>91</v>
      </c>
      <c r="N304" s="5">
        <v>88</v>
      </c>
      <c r="O304" s="5">
        <v>153</v>
      </c>
      <c r="Q304" s="5">
        <v>220149</v>
      </c>
      <c r="R304" s="5">
        <v>82</v>
      </c>
      <c r="S304" s="5">
        <v>658493</v>
      </c>
      <c r="T304" s="5">
        <v>76</v>
      </c>
      <c r="U304" t="s">
        <v>4317</v>
      </c>
      <c r="V304" s="2">
        <v>82.8</v>
      </c>
      <c r="W304" s="5">
        <f>Top_500_Movies_Ranked_by_Combined_Critics_and_Audience_Scores[[#This Row],[Critic_Rating_RT]]-Top_500_Movies_Ranked_by_Combined_Critics_and_Audience_Scores[[#This Row],[Audience_Rating]]</f>
        <v>88</v>
      </c>
      <c r="X304" s="5">
        <f>FLOOR(Top_500_Movies_Ranked_by_Combined_Critics_and_Audience_Scores[[#This Row],[Year]],10)</f>
        <v>2020</v>
      </c>
    </row>
    <row r="305" spans="1:24" x14ac:dyDescent="0.2">
      <c r="A305" s="3">
        <v>304</v>
      </c>
      <c r="B305" t="s">
        <v>2992</v>
      </c>
      <c r="C305" s="5">
        <v>2015</v>
      </c>
      <c r="D305" t="s">
        <v>1412</v>
      </c>
      <c r="E305" t="s">
        <v>2993</v>
      </c>
      <c r="F305" t="s">
        <v>30</v>
      </c>
      <c r="G305" t="s">
        <v>4317</v>
      </c>
      <c r="H305" t="s">
        <v>4317</v>
      </c>
      <c r="I305" s="5">
        <v>84</v>
      </c>
      <c r="J305" s="4">
        <v>7.3</v>
      </c>
      <c r="K305" s="5">
        <v>73</v>
      </c>
      <c r="L305" s="5">
        <v>148047</v>
      </c>
      <c r="M305" s="5">
        <v>94</v>
      </c>
      <c r="N305" s="5">
        <v>88</v>
      </c>
      <c r="O305" s="5">
        <v>210</v>
      </c>
      <c r="P305" s="5">
        <v>74</v>
      </c>
      <c r="Q305" s="5">
        <v>185804</v>
      </c>
      <c r="R305" s="5">
        <v>80</v>
      </c>
      <c r="S305" s="5">
        <v>496700</v>
      </c>
      <c r="T305" s="5">
        <v>87</v>
      </c>
      <c r="U305" t="s">
        <v>75</v>
      </c>
      <c r="V305" s="2">
        <v>82.67</v>
      </c>
      <c r="W305" s="5">
        <f>Top_500_Movies_Ranked_by_Combined_Critics_and_Audience_Scores[[#This Row],[Critic_Rating_RT]]-Top_500_Movies_Ranked_by_Combined_Critics_and_Audience_Scores[[#This Row],[Audience_Rating]]</f>
        <v>14</v>
      </c>
      <c r="X305" s="5">
        <f>FLOOR(Top_500_Movies_Ranked_by_Combined_Critics_and_Audience_Scores[[#This Row],[Year]],10)</f>
        <v>2010</v>
      </c>
    </row>
    <row r="306" spans="1:24" x14ac:dyDescent="0.2">
      <c r="A306" s="3">
        <v>305</v>
      </c>
      <c r="B306" t="s">
        <v>3001</v>
      </c>
      <c r="C306" s="5">
        <v>2016</v>
      </c>
      <c r="D306" t="s">
        <v>3002</v>
      </c>
      <c r="E306" t="s">
        <v>3003</v>
      </c>
      <c r="F306" t="s">
        <v>30</v>
      </c>
      <c r="G306" t="s">
        <v>4317</v>
      </c>
      <c r="H306" t="s">
        <v>4317</v>
      </c>
      <c r="I306" s="5">
        <v>82</v>
      </c>
      <c r="J306" s="4">
        <v>7.8</v>
      </c>
      <c r="K306" s="5">
        <v>78</v>
      </c>
      <c r="L306" s="5">
        <v>147301</v>
      </c>
      <c r="M306" s="5">
        <v>81</v>
      </c>
      <c r="N306" s="5">
        <v>80</v>
      </c>
      <c r="O306" s="5">
        <v>131</v>
      </c>
      <c r="P306" s="5">
        <v>87</v>
      </c>
      <c r="Q306" s="5">
        <v>120665</v>
      </c>
      <c r="R306" s="5">
        <v>82</v>
      </c>
      <c r="S306" s="5">
        <v>311081</v>
      </c>
      <c r="T306" s="5">
        <v>88</v>
      </c>
      <c r="U306" t="s">
        <v>253</v>
      </c>
      <c r="V306" s="2">
        <v>82.67</v>
      </c>
      <c r="W306" s="5">
        <f>Top_500_Movies_Ranked_by_Combined_Critics_and_Audience_Scores[[#This Row],[Critic_Rating_RT]]-Top_500_Movies_Ranked_by_Combined_Critics_and_Audience_Scores[[#This Row],[Audience_Rating]]</f>
        <v>-7</v>
      </c>
      <c r="X306" s="5">
        <f>FLOOR(Top_500_Movies_Ranked_by_Combined_Critics_and_Audience_Scores[[#This Row],[Year]],10)</f>
        <v>2010</v>
      </c>
    </row>
    <row r="307" spans="1:24" x14ac:dyDescent="0.2">
      <c r="A307" s="3">
        <v>306</v>
      </c>
      <c r="B307" t="s">
        <v>3010</v>
      </c>
      <c r="C307" s="5">
        <v>2006</v>
      </c>
      <c r="D307" t="s">
        <v>3011</v>
      </c>
      <c r="E307" t="s">
        <v>2847</v>
      </c>
      <c r="F307" t="s">
        <v>30</v>
      </c>
      <c r="G307" t="s">
        <v>3014</v>
      </c>
      <c r="H307" t="s">
        <v>1462</v>
      </c>
      <c r="I307" s="5">
        <v>82</v>
      </c>
      <c r="J307" s="4">
        <v>7.8</v>
      </c>
      <c r="K307" s="5">
        <v>78</v>
      </c>
      <c r="L307" s="5">
        <v>123059</v>
      </c>
      <c r="M307" s="5">
        <v>90</v>
      </c>
      <c r="N307" s="5">
        <v>85</v>
      </c>
      <c r="O307" s="5">
        <v>109</v>
      </c>
      <c r="P307" s="5">
        <v>86</v>
      </c>
      <c r="Q307" s="5">
        <v>158469</v>
      </c>
      <c r="R307" s="5">
        <v>78</v>
      </c>
      <c r="S307" s="5">
        <v>93064</v>
      </c>
      <c r="T307" s="5">
        <v>79</v>
      </c>
      <c r="U307" t="s">
        <v>3017</v>
      </c>
      <c r="V307" s="2">
        <v>82.67</v>
      </c>
      <c r="W307" s="5">
        <f>Top_500_Movies_Ranked_by_Combined_Critics_and_Audience_Scores[[#This Row],[Critic_Rating_RT]]-Top_500_Movies_Ranked_by_Combined_Critics_and_Audience_Scores[[#This Row],[Audience_Rating]]</f>
        <v>-1</v>
      </c>
      <c r="X307" s="5">
        <f>FLOOR(Top_500_Movies_Ranked_by_Combined_Critics_and_Audience_Scores[[#This Row],[Year]],10)</f>
        <v>2000</v>
      </c>
    </row>
    <row r="308" spans="1:24" x14ac:dyDescent="0.2">
      <c r="A308" s="3">
        <v>307</v>
      </c>
      <c r="B308" t="s">
        <v>3020</v>
      </c>
      <c r="C308" s="5">
        <v>2001</v>
      </c>
      <c r="D308" t="s">
        <v>3021</v>
      </c>
      <c r="E308" t="s">
        <v>3022</v>
      </c>
      <c r="F308" t="s">
        <v>30</v>
      </c>
      <c r="G308" t="s">
        <v>3025</v>
      </c>
      <c r="H308" t="s">
        <v>3026</v>
      </c>
      <c r="I308" s="5">
        <v>82</v>
      </c>
      <c r="J308" s="4">
        <v>7.9</v>
      </c>
      <c r="K308" s="5">
        <v>79</v>
      </c>
      <c r="L308" s="5">
        <v>767731</v>
      </c>
      <c r="M308" s="5">
        <v>84</v>
      </c>
      <c r="N308" s="5">
        <v>80</v>
      </c>
      <c r="O308" s="5">
        <v>122</v>
      </c>
      <c r="P308" s="5">
        <v>86</v>
      </c>
      <c r="Q308" s="5">
        <v>1511622</v>
      </c>
      <c r="R308" s="5">
        <v>82</v>
      </c>
      <c r="S308" s="5">
        <v>1777380</v>
      </c>
      <c r="T308" s="5">
        <v>85</v>
      </c>
      <c r="U308" t="s">
        <v>3029</v>
      </c>
      <c r="V308" s="2">
        <v>82.67</v>
      </c>
      <c r="W308" s="5">
        <f>Top_500_Movies_Ranked_by_Combined_Critics_and_Audience_Scores[[#This Row],[Critic_Rating_RT]]-Top_500_Movies_Ranked_by_Combined_Critics_and_Audience_Scores[[#This Row],[Audience_Rating]]</f>
        <v>-6</v>
      </c>
      <c r="X308" s="5">
        <f>FLOOR(Top_500_Movies_Ranked_by_Combined_Critics_and_Audience_Scores[[#This Row],[Year]],10)</f>
        <v>2000</v>
      </c>
    </row>
    <row r="309" spans="1:24" x14ac:dyDescent="0.2">
      <c r="A309" s="3">
        <v>308</v>
      </c>
      <c r="B309" t="s">
        <v>3032</v>
      </c>
      <c r="C309" s="5">
        <v>2008</v>
      </c>
      <c r="D309" t="s">
        <v>211</v>
      </c>
      <c r="E309" t="s">
        <v>3033</v>
      </c>
      <c r="F309" t="s">
        <v>30</v>
      </c>
      <c r="G309" t="s">
        <v>3036</v>
      </c>
      <c r="H309" t="s">
        <v>2011</v>
      </c>
      <c r="I309" s="5">
        <v>83</v>
      </c>
      <c r="J309" s="4">
        <v>7.9</v>
      </c>
      <c r="K309" s="5">
        <v>79</v>
      </c>
      <c r="L309" s="5">
        <v>324931</v>
      </c>
      <c r="M309" s="5">
        <v>80</v>
      </c>
      <c r="N309" s="5">
        <v>84</v>
      </c>
      <c r="O309" s="5">
        <v>153</v>
      </c>
      <c r="P309" s="5">
        <v>84</v>
      </c>
      <c r="Q309" s="5">
        <v>155576</v>
      </c>
      <c r="R309" s="5">
        <v>82</v>
      </c>
      <c r="S309" s="5">
        <v>185017</v>
      </c>
      <c r="T309" s="5">
        <v>87</v>
      </c>
      <c r="U309" t="s">
        <v>3039</v>
      </c>
      <c r="V309" s="2">
        <v>82.67</v>
      </c>
      <c r="W309" s="5">
        <f>Top_500_Movies_Ranked_by_Combined_Critics_and_Audience_Scores[[#This Row],[Critic_Rating_RT]]-Top_500_Movies_Ranked_by_Combined_Critics_and_Audience_Scores[[#This Row],[Audience_Rating]]</f>
        <v>0</v>
      </c>
      <c r="X309" s="5">
        <f>FLOOR(Top_500_Movies_Ranked_by_Combined_Critics_and_Audience_Scores[[#This Row],[Year]],10)</f>
        <v>2000</v>
      </c>
    </row>
    <row r="310" spans="1:24" x14ac:dyDescent="0.2">
      <c r="A310" s="3">
        <v>309</v>
      </c>
      <c r="B310" t="s">
        <v>3042</v>
      </c>
      <c r="C310" s="5">
        <v>2011</v>
      </c>
      <c r="D310" t="s">
        <v>3043</v>
      </c>
      <c r="E310" t="s">
        <v>3044</v>
      </c>
      <c r="F310" t="s">
        <v>321</v>
      </c>
      <c r="G310" t="s">
        <v>3047</v>
      </c>
      <c r="H310" t="s">
        <v>1624</v>
      </c>
      <c r="I310" s="5">
        <v>82</v>
      </c>
      <c r="J310" s="4">
        <v>7.8</v>
      </c>
      <c r="K310" s="5">
        <v>78</v>
      </c>
      <c r="L310" s="5">
        <v>251867</v>
      </c>
      <c r="M310" s="5">
        <v>89</v>
      </c>
      <c r="N310" s="5">
        <v>88</v>
      </c>
      <c r="O310" s="5">
        <v>243</v>
      </c>
      <c r="P310" s="5">
        <v>84</v>
      </c>
      <c r="Q310" s="5">
        <v>88332</v>
      </c>
      <c r="R310" s="5">
        <v>76</v>
      </c>
      <c r="S310" s="5">
        <v>147420</v>
      </c>
      <c r="T310" s="5">
        <v>81</v>
      </c>
      <c r="U310" t="s">
        <v>617</v>
      </c>
      <c r="V310" s="2">
        <v>82.67</v>
      </c>
      <c r="W310" s="5">
        <f>Top_500_Movies_Ranked_by_Combined_Critics_and_Audience_Scores[[#This Row],[Critic_Rating_RT]]-Top_500_Movies_Ranked_by_Combined_Critics_and_Audience_Scores[[#This Row],[Audience_Rating]]</f>
        <v>4</v>
      </c>
      <c r="X310" s="5">
        <f>FLOOR(Top_500_Movies_Ranked_by_Combined_Critics_and_Audience_Scores[[#This Row],[Year]],10)</f>
        <v>2010</v>
      </c>
    </row>
    <row r="311" spans="1:24" x14ac:dyDescent="0.2">
      <c r="A311" s="3">
        <v>310</v>
      </c>
      <c r="B311" t="s">
        <v>3052</v>
      </c>
      <c r="C311" s="5">
        <v>1939</v>
      </c>
      <c r="D311" t="s">
        <v>992</v>
      </c>
      <c r="E311" t="s">
        <v>383</v>
      </c>
      <c r="F311" t="s">
        <v>30</v>
      </c>
      <c r="G311" t="s">
        <v>3055</v>
      </c>
      <c r="H311" t="s">
        <v>3056</v>
      </c>
      <c r="I311" s="5">
        <v>82</v>
      </c>
      <c r="J311" s="4">
        <v>8.1</v>
      </c>
      <c r="K311" s="5">
        <v>81</v>
      </c>
      <c r="L311" s="5">
        <v>125223</v>
      </c>
      <c r="M311" s="5">
        <v>73</v>
      </c>
      <c r="N311" s="5">
        <v>81</v>
      </c>
      <c r="O311" s="5">
        <v>61</v>
      </c>
      <c r="P311" s="5">
        <v>90</v>
      </c>
      <c r="Q311" s="5">
        <v>50349</v>
      </c>
      <c r="R311" s="5">
        <v>82</v>
      </c>
      <c r="S311" s="5">
        <v>59111</v>
      </c>
      <c r="T311" s="5">
        <v>89</v>
      </c>
      <c r="U311" t="s">
        <v>75</v>
      </c>
      <c r="V311" s="2">
        <v>82.67</v>
      </c>
      <c r="W311" s="5">
        <f>Top_500_Movies_Ranked_by_Combined_Critics_and_Audience_Scores[[#This Row],[Critic_Rating_RT]]-Top_500_Movies_Ranked_by_Combined_Critics_and_Audience_Scores[[#This Row],[Audience_Rating]]</f>
        <v>-9</v>
      </c>
      <c r="X311" s="5">
        <f>FLOOR(Top_500_Movies_Ranked_by_Combined_Critics_and_Audience_Scores[[#This Row],[Year]],10)</f>
        <v>1930</v>
      </c>
    </row>
    <row r="312" spans="1:24" x14ac:dyDescent="0.2">
      <c r="A312" s="3">
        <v>311</v>
      </c>
      <c r="B312" t="s">
        <v>3061</v>
      </c>
      <c r="C312" s="5">
        <v>2002</v>
      </c>
      <c r="D312" t="s">
        <v>3062</v>
      </c>
      <c r="E312" t="s">
        <v>3063</v>
      </c>
      <c r="F312" t="s">
        <v>1221</v>
      </c>
      <c r="G312" t="s">
        <v>4317</v>
      </c>
      <c r="H312" t="s">
        <v>4317</v>
      </c>
      <c r="I312" s="5">
        <v>82</v>
      </c>
      <c r="J312" s="4">
        <v>7.9</v>
      </c>
      <c r="K312" s="5">
        <v>79</v>
      </c>
      <c r="L312" s="5">
        <v>190396</v>
      </c>
      <c r="M312" s="5">
        <v>85</v>
      </c>
      <c r="N312" s="5">
        <v>83</v>
      </c>
      <c r="O312" s="5">
        <v>114</v>
      </c>
      <c r="P312" s="5">
        <v>84</v>
      </c>
      <c r="Q312" s="5">
        <v>197619</v>
      </c>
      <c r="R312" s="5">
        <v>80</v>
      </c>
      <c r="S312" s="5">
        <v>93431</v>
      </c>
      <c r="T312" s="5">
        <v>85</v>
      </c>
      <c r="U312" t="s">
        <v>75</v>
      </c>
      <c r="V312" s="2">
        <v>82.67</v>
      </c>
      <c r="W312" s="5">
        <f>Top_500_Movies_Ranked_by_Combined_Critics_and_Audience_Scores[[#This Row],[Critic_Rating_RT]]-Top_500_Movies_Ranked_by_Combined_Critics_and_Audience_Scores[[#This Row],[Audience_Rating]]</f>
        <v>-1</v>
      </c>
      <c r="X312" s="5">
        <f>FLOOR(Top_500_Movies_Ranked_by_Combined_Critics_and_Audience_Scores[[#This Row],[Year]],10)</f>
        <v>2000</v>
      </c>
    </row>
    <row r="313" spans="1:24" x14ac:dyDescent="0.2">
      <c r="A313" s="3">
        <v>312</v>
      </c>
      <c r="B313" t="s">
        <v>3070</v>
      </c>
      <c r="C313" s="5">
        <v>1980</v>
      </c>
      <c r="D313" t="s">
        <v>1731</v>
      </c>
      <c r="E313" t="s">
        <v>199</v>
      </c>
      <c r="F313" t="s">
        <v>30</v>
      </c>
      <c r="G313" t="s">
        <v>3073</v>
      </c>
      <c r="H313" t="s">
        <v>216</v>
      </c>
      <c r="I313" s="5">
        <v>82</v>
      </c>
      <c r="J313" s="4">
        <v>8.4</v>
      </c>
      <c r="K313" s="5">
        <v>84</v>
      </c>
      <c r="L313" s="5">
        <v>1159459</v>
      </c>
      <c r="M313" s="5">
        <v>68</v>
      </c>
      <c r="N313" s="5">
        <v>82</v>
      </c>
      <c r="O313" s="5">
        <v>121</v>
      </c>
      <c r="P313" s="5">
        <v>90</v>
      </c>
      <c r="Q313" s="5">
        <v>1061936</v>
      </c>
      <c r="R313" s="5">
        <v>84</v>
      </c>
      <c r="S313" s="5">
        <v>2218109</v>
      </c>
      <c r="T313" s="5">
        <v>88</v>
      </c>
      <c r="U313" t="s">
        <v>135</v>
      </c>
      <c r="V313" s="2">
        <v>82.67</v>
      </c>
      <c r="W313" s="5">
        <f>Top_500_Movies_Ranked_by_Combined_Critics_and_Audience_Scores[[#This Row],[Critic_Rating_RT]]-Top_500_Movies_Ranked_by_Combined_Critics_and_Audience_Scores[[#This Row],[Audience_Rating]]</f>
        <v>-8</v>
      </c>
      <c r="X313" s="5">
        <f>FLOOR(Top_500_Movies_Ranked_by_Combined_Critics_and_Audience_Scores[[#This Row],[Year]],10)</f>
        <v>1980</v>
      </c>
    </row>
    <row r="314" spans="1:24" x14ac:dyDescent="0.2">
      <c r="A314" s="3">
        <v>313</v>
      </c>
      <c r="B314" t="s">
        <v>3079</v>
      </c>
      <c r="C314" s="5">
        <v>2010</v>
      </c>
      <c r="D314" t="s">
        <v>1161</v>
      </c>
      <c r="E314" t="s">
        <v>3080</v>
      </c>
      <c r="F314" t="s">
        <v>30</v>
      </c>
      <c r="G314" t="s">
        <v>3083</v>
      </c>
      <c r="H314" t="s">
        <v>3084</v>
      </c>
      <c r="I314" s="5">
        <v>82</v>
      </c>
      <c r="J314" s="4">
        <v>7.9</v>
      </c>
      <c r="K314" s="5">
        <v>79</v>
      </c>
      <c r="L314" s="5">
        <v>69834</v>
      </c>
      <c r="M314" s="5">
        <v>85</v>
      </c>
      <c r="N314" s="5">
        <v>82</v>
      </c>
      <c r="O314" s="5">
        <v>91</v>
      </c>
      <c r="P314" s="5">
        <v>87</v>
      </c>
      <c r="Q314" s="5">
        <v>35498</v>
      </c>
      <c r="R314" s="5">
        <v>78</v>
      </c>
      <c r="S314" s="5">
        <v>56964</v>
      </c>
      <c r="T314" s="5">
        <v>85</v>
      </c>
      <c r="U314" t="s">
        <v>325</v>
      </c>
      <c r="V314" s="2">
        <v>82.67</v>
      </c>
      <c r="W314" s="5">
        <f>Top_500_Movies_Ranked_by_Combined_Critics_and_Audience_Scores[[#This Row],[Critic_Rating_RT]]-Top_500_Movies_Ranked_by_Combined_Critics_and_Audience_Scores[[#This Row],[Audience_Rating]]</f>
        <v>-5</v>
      </c>
      <c r="X314" s="5">
        <f>FLOOR(Top_500_Movies_Ranked_by_Combined_Critics_and_Audience_Scores[[#This Row],[Year]],10)</f>
        <v>2010</v>
      </c>
    </row>
    <row r="315" spans="1:24" x14ac:dyDescent="0.2">
      <c r="A315" s="3">
        <v>314</v>
      </c>
      <c r="B315" t="s">
        <v>3089</v>
      </c>
      <c r="C315" s="5">
        <v>2008</v>
      </c>
      <c r="D315" t="s">
        <v>3090</v>
      </c>
      <c r="E315" t="s">
        <v>3091</v>
      </c>
      <c r="F315" t="s">
        <v>684</v>
      </c>
      <c r="G315" t="s">
        <v>3094</v>
      </c>
      <c r="H315" t="s">
        <v>3095</v>
      </c>
      <c r="I315" s="5">
        <v>82</v>
      </c>
      <c r="J315" s="4">
        <v>7.8</v>
      </c>
      <c r="K315" s="5">
        <v>78</v>
      </c>
      <c r="L315" s="5">
        <v>232716</v>
      </c>
      <c r="M315" s="5">
        <v>82</v>
      </c>
      <c r="N315" s="5">
        <v>83</v>
      </c>
      <c r="O315" s="5">
        <v>175</v>
      </c>
      <c r="P315" s="5">
        <v>86</v>
      </c>
      <c r="Q315" s="5">
        <v>104611</v>
      </c>
      <c r="R315" s="5">
        <v>80</v>
      </c>
      <c r="S315" s="5">
        <v>190294</v>
      </c>
      <c r="T315" s="5">
        <v>87</v>
      </c>
      <c r="U315" t="s">
        <v>253</v>
      </c>
      <c r="V315" s="2">
        <v>82.67</v>
      </c>
      <c r="W315" s="5">
        <f>Top_500_Movies_Ranked_by_Combined_Critics_and_Audience_Scores[[#This Row],[Critic_Rating_RT]]-Top_500_Movies_Ranked_by_Combined_Critics_and_Audience_Scores[[#This Row],[Audience_Rating]]</f>
        <v>-3</v>
      </c>
      <c r="X315" s="5">
        <f>FLOOR(Top_500_Movies_Ranked_by_Combined_Critics_and_Audience_Scores[[#This Row],[Year]],10)</f>
        <v>2000</v>
      </c>
    </row>
    <row r="316" spans="1:24" x14ac:dyDescent="0.2">
      <c r="A316" s="3">
        <v>315</v>
      </c>
      <c r="B316" t="s">
        <v>3100</v>
      </c>
      <c r="C316" s="5">
        <v>2024</v>
      </c>
      <c r="D316" t="s">
        <v>3043</v>
      </c>
      <c r="E316" t="s">
        <v>2873</v>
      </c>
      <c r="F316" t="s">
        <v>30</v>
      </c>
      <c r="G316" t="s">
        <v>4317</v>
      </c>
      <c r="H316" t="s">
        <v>4317</v>
      </c>
      <c r="I316" s="5">
        <v>82</v>
      </c>
      <c r="J316" s="4">
        <v>7.6</v>
      </c>
      <c r="K316" s="5">
        <v>76</v>
      </c>
      <c r="L316" s="5">
        <v>150547</v>
      </c>
      <c r="M316" s="5">
        <v>91</v>
      </c>
      <c r="N316" s="5">
        <v>87</v>
      </c>
      <c r="O316" s="5">
        <v>193</v>
      </c>
      <c r="R316" s="5">
        <v>78</v>
      </c>
      <c r="S316" s="5">
        <v>1494086</v>
      </c>
      <c r="T316" s="5">
        <v>81</v>
      </c>
      <c r="U316" t="s">
        <v>2397</v>
      </c>
      <c r="V316" s="2">
        <v>82.6</v>
      </c>
      <c r="W316" s="5">
        <f>Top_500_Movies_Ranked_by_Combined_Critics_and_Audience_Scores[[#This Row],[Critic_Rating_RT]]-Top_500_Movies_Ranked_by_Combined_Critics_and_Audience_Scores[[#This Row],[Audience_Rating]]</f>
        <v>87</v>
      </c>
      <c r="X316" s="5">
        <f>FLOOR(Top_500_Movies_Ranked_by_Combined_Critics_and_Audience_Scores[[#This Row],[Year]],10)</f>
        <v>2020</v>
      </c>
    </row>
    <row r="317" spans="1:24" x14ac:dyDescent="0.2">
      <c r="A317" s="3">
        <v>316</v>
      </c>
      <c r="B317" t="s">
        <v>3107</v>
      </c>
      <c r="C317" s="5">
        <v>2022</v>
      </c>
      <c r="D317" t="s">
        <v>65</v>
      </c>
      <c r="E317" t="s">
        <v>3108</v>
      </c>
      <c r="F317" t="s">
        <v>321</v>
      </c>
      <c r="G317" t="s">
        <v>4317</v>
      </c>
      <c r="H317" t="s">
        <v>4317</v>
      </c>
      <c r="I317" s="5">
        <v>83</v>
      </c>
      <c r="J317" s="4">
        <v>7.8</v>
      </c>
      <c r="K317" s="5">
        <v>78</v>
      </c>
      <c r="L317" s="5">
        <v>42931</v>
      </c>
      <c r="M317" s="5">
        <v>81</v>
      </c>
      <c r="N317" s="5">
        <v>83</v>
      </c>
      <c r="O317" s="5">
        <v>90</v>
      </c>
      <c r="Q317" s="5">
        <v>120210</v>
      </c>
      <c r="R317" s="5">
        <v>82</v>
      </c>
      <c r="S317" s="5">
        <v>359461</v>
      </c>
      <c r="T317" s="5">
        <v>89</v>
      </c>
      <c r="U317" t="s">
        <v>3113</v>
      </c>
      <c r="V317" s="2">
        <v>82.6</v>
      </c>
      <c r="W317" s="5">
        <f>Top_500_Movies_Ranked_by_Combined_Critics_and_Audience_Scores[[#This Row],[Critic_Rating_RT]]-Top_500_Movies_Ranked_by_Combined_Critics_and_Audience_Scores[[#This Row],[Audience_Rating]]</f>
        <v>83</v>
      </c>
      <c r="X317" s="5">
        <f>FLOOR(Top_500_Movies_Ranked_by_Combined_Critics_and_Audience_Scores[[#This Row],[Year]],10)</f>
        <v>2020</v>
      </c>
    </row>
    <row r="318" spans="1:24" x14ac:dyDescent="0.2">
      <c r="A318" s="3">
        <v>317</v>
      </c>
      <c r="B318" t="s">
        <v>3116</v>
      </c>
      <c r="C318" s="5">
        <v>2022</v>
      </c>
      <c r="D318" t="s">
        <v>3117</v>
      </c>
      <c r="E318" t="s">
        <v>2112</v>
      </c>
      <c r="F318" t="s">
        <v>30</v>
      </c>
      <c r="G318" t="s">
        <v>4317</v>
      </c>
      <c r="H318" t="s">
        <v>4317</v>
      </c>
      <c r="I318" s="5">
        <v>83</v>
      </c>
      <c r="J318" s="4">
        <v>7.7</v>
      </c>
      <c r="K318" s="5">
        <v>77</v>
      </c>
      <c r="L318" s="5">
        <v>277579</v>
      </c>
      <c r="M318" s="5">
        <v>87</v>
      </c>
      <c r="N318" s="5">
        <v>87</v>
      </c>
      <c r="O318" s="5">
        <v>220</v>
      </c>
      <c r="Q318" s="5">
        <v>343964</v>
      </c>
      <c r="R318" s="5">
        <v>82</v>
      </c>
      <c r="S318" s="5">
        <v>1020113</v>
      </c>
      <c r="T318" s="5">
        <v>80</v>
      </c>
      <c r="U318" t="s">
        <v>4317</v>
      </c>
      <c r="V318" s="2">
        <v>82.6</v>
      </c>
      <c r="W318" s="5">
        <f>Top_500_Movies_Ranked_by_Combined_Critics_and_Audience_Scores[[#This Row],[Critic_Rating_RT]]-Top_500_Movies_Ranked_by_Combined_Critics_and_Audience_Scores[[#This Row],[Audience_Rating]]</f>
        <v>87</v>
      </c>
      <c r="X318" s="5">
        <f>FLOOR(Top_500_Movies_Ranked_by_Combined_Critics_and_Audience_Scores[[#This Row],[Year]],10)</f>
        <v>2020</v>
      </c>
    </row>
    <row r="319" spans="1:24" x14ac:dyDescent="0.2">
      <c r="A319" s="3">
        <v>318</v>
      </c>
      <c r="B319" t="s">
        <v>3124</v>
      </c>
      <c r="C319" s="5">
        <v>2006</v>
      </c>
      <c r="D319" t="s">
        <v>992</v>
      </c>
      <c r="E319" t="s">
        <v>3125</v>
      </c>
      <c r="F319" t="s">
        <v>30</v>
      </c>
      <c r="G319" t="s">
        <v>3128</v>
      </c>
      <c r="H319" t="s">
        <v>1462</v>
      </c>
      <c r="I319" s="5">
        <v>81</v>
      </c>
      <c r="J319" s="4">
        <v>7.8</v>
      </c>
      <c r="K319" s="5">
        <v>78</v>
      </c>
      <c r="L319" s="5">
        <v>534824</v>
      </c>
      <c r="M319" s="5">
        <v>80</v>
      </c>
      <c r="N319" s="5">
        <v>79</v>
      </c>
      <c r="O319" s="5">
        <v>136</v>
      </c>
      <c r="P319" s="5">
        <v>87</v>
      </c>
      <c r="Q319" s="5">
        <v>765429</v>
      </c>
      <c r="R319" s="5">
        <v>84</v>
      </c>
      <c r="S319" s="5">
        <v>1440499</v>
      </c>
      <c r="T319" s="5">
        <v>87</v>
      </c>
      <c r="U319" t="s">
        <v>135</v>
      </c>
      <c r="V319" s="2">
        <v>82.5</v>
      </c>
      <c r="W319" s="5">
        <f>Top_500_Movies_Ranked_by_Combined_Critics_and_Audience_Scores[[#This Row],[Critic_Rating_RT]]-Top_500_Movies_Ranked_by_Combined_Critics_and_Audience_Scores[[#This Row],[Audience_Rating]]</f>
        <v>-8</v>
      </c>
      <c r="X319" s="5">
        <f>FLOOR(Top_500_Movies_Ranked_by_Combined_Critics_and_Audience_Scores[[#This Row],[Year]],10)</f>
        <v>2000</v>
      </c>
    </row>
    <row r="320" spans="1:24" x14ac:dyDescent="0.2">
      <c r="A320" s="3">
        <v>319</v>
      </c>
      <c r="B320" t="s">
        <v>3134</v>
      </c>
      <c r="C320" s="5">
        <v>1988</v>
      </c>
      <c r="D320" t="s">
        <v>3135</v>
      </c>
      <c r="E320" t="s">
        <v>584</v>
      </c>
      <c r="F320" t="s">
        <v>30</v>
      </c>
      <c r="G320" t="s">
        <v>3138</v>
      </c>
      <c r="H320" t="s">
        <v>2096</v>
      </c>
      <c r="I320" s="5">
        <v>83</v>
      </c>
      <c r="J320" s="4">
        <v>7.7</v>
      </c>
      <c r="K320" s="5">
        <v>77</v>
      </c>
      <c r="L320" s="5">
        <v>224493</v>
      </c>
      <c r="M320" s="5">
        <v>83</v>
      </c>
      <c r="N320" s="5">
        <v>85</v>
      </c>
      <c r="O320" s="5">
        <v>60</v>
      </c>
      <c r="P320" s="5">
        <v>81</v>
      </c>
      <c r="Q320" s="5">
        <v>407748</v>
      </c>
      <c r="R320" s="5">
        <v>80</v>
      </c>
      <c r="S320" s="5">
        <v>336854</v>
      </c>
      <c r="T320" s="5">
        <v>89</v>
      </c>
      <c r="U320" t="s">
        <v>444</v>
      </c>
      <c r="V320" s="2">
        <v>82.5</v>
      </c>
      <c r="W320" s="5">
        <f>Top_500_Movies_Ranked_by_Combined_Critics_and_Audience_Scores[[#This Row],[Critic_Rating_RT]]-Top_500_Movies_Ranked_by_Combined_Critics_and_Audience_Scores[[#This Row],[Audience_Rating]]</f>
        <v>4</v>
      </c>
      <c r="X320" s="5">
        <f>FLOOR(Top_500_Movies_Ranked_by_Combined_Critics_and_Audience_Scores[[#This Row],[Year]],10)</f>
        <v>1980</v>
      </c>
    </row>
    <row r="321" spans="1:24" x14ac:dyDescent="0.2">
      <c r="A321" s="3">
        <v>320</v>
      </c>
      <c r="B321" t="s">
        <v>3143</v>
      </c>
      <c r="C321" s="5">
        <v>2008</v>
      </c>
      <c r="D321" t="s">
        <v>3144</v>
      </c>
      <c r="E321" t="s">
        <v>141</v>
      </c>
      <c r="F321" t="s">
        <v>50</v>
      </c>
      <c r="G321" t="s">
        <v>3147</v>
      </c>
      <c r="H321" t="s">
        <v>145</v>
      </c>
      <c r="I321" s="5">
        <v>82</v>
      </c>
      <c r="J321" s="4">
        <v>7.6</v>
      </c>
      <c r="K321" s="5">
        <v>76</v>
      </c>
      <c r="L321" s="5">
        <v>173372</v>
      </c>
      <c r="M321" s="5">
        <v>86</v>
      </c>
      <c r="N321" s="5">
        <v>79</v>
      </c>
      <c r="O321" s="5">
        <v>103</v>
      </c>
      <c r="P321" s="5">
        <v>81</v>
      </c>
      <c r="Q321" s="5">
        <v>346409</v>
      </c>
      <c r="R321" s="5">
        <v>82</v>
      </c>
      <c r="S321" s="5">
        <v>843361</v>
      </c>
      <c r="T321" s="5">
        <v>91</v>
      </c>
      <c r="U321" t="s">
        <v>135</v>
      </c>
      <c r="V321" s="2">
        <v>82.5</v>
      </c>
      <c r="W321" s="5">
        <f>Top_500_Movies_Ranked_by_Combined_Critics_and_Audience_Scores[[#This Row],[Critic_Rating_RT]]-Top_500_Movies_Ranked_by_Combined_Critics_and_Audience_Scores[[#This Row],[Audience_Rating]]</f>
        <v>-2</v>
      </c>
      <c r="X321" s="5">
        <f>FLOOR(Top_500_Movies_Ranked_by_Combined_Critics_and_Audience_Scores[[#This Row],[Year]],10)</f>
        <v>2000</v>
      </c>
    </row>
    <row r="322" spans="1:24" x14ac:dyDescent="0.2">
      <c r="A322" s="3">
        <v>321</v>
      </c>
      <c r="B322" t="s">
        <v>3152</v>
      </c>
      <c r="C322" s="5">
        <v>1994</v>
      </c>
      <c r="D322" t="s">
        <v>3153</v>
      </c>
      <c r="E322" t="s">
        <v>3154</v>
      </c>
      <c r="F322" t="s">
        <v>30</v>
      </c>
      <c r="G322" t="s">
        <v>3157</v>
      </c>
      <c r="H322" t="s">
        <v>3158</v>
      </c>
      <c r="I322" s="5">
        <v>82</v>
      </c>
      <c r="J322" s="4">
        <v>7.5</v>
      </c>
      <c r="K322" s="5">
        <v>75</v>
      </c>
      <c r="L322" s="5">
        <v>75122</v>
      </c>
      <c r="M322" s="5">
        <v>92</v>
      </c>
      <c r="N322" s="5">
        <v>86</v>
      </c>
      <c r="O322" s="5">
        <v>58</v>
      </c>
      <c r="P322" s="5">
        <v>83</v>
      </c>
      <c r="Q322" s="5">
        <v>36625</v>
      </c>
      <c r="R322" s="5">
        <v>76</v>
      </c>
      <c r="S322" s="5">
        <v>46508</v>
      </c>
      <c r="T322" s="5">
        <v>83</v>
      </c>
      <c r="U322" t="s">
        <v>75</v>
      </c>
      <c r="V322" s="2">
        <v>82.5</v>
      </c>
      <c r="W322" s="5">
        <f>Top_500_Movies_Ranked_by_Combined_Critics_and_Audience_Scores[[#This Row],[Critic_Rating_RT]]-Top_500_Movies_Ranked_by_Combined_Critics_and_Audience_Scores[[#This Row],[Audience_Rating]]</f>
        <v>3</v>
      </c>
      <c r="X322" s="5">
        <f>FLOOR(Top_500_Movies_Ranked_by_Combined_Critics_and_Audience_Scores[[#This Row],[Year]],10)</f>
        <v>1990</v>
      </c>
    </row>
    <row r="323" spans="1:24" x14ac:dyDescent="0.2">
      <c r="A323" s="3">
        <v>322</v>
      </c>
      <c r="B323" t="s">
        <v>3163</v>
      </c>
      <c r="C323" s="5">
        <v>1937</v>
      </c>
      <c r="D323" t="s">
        <v>804</v>
      </c>
      <c r="E323" t="s">
        <v>3164</v>
      </c>
      <c r="F323" t="s">
        <v>30</v>
      </c>
      <c r="G323" t="s">
        <v>4317</v>
      </c>
      <c r="H323" t="s">
        <v>4317</v>
      </c>
      <c r="I323" s="5">
        <v>82</v>
      </c>
      <c r="J323" s="4">
        <v>7.6</v>
      </c>
      <c r="K323" s="5">
        <v>76</v>
      </c>
      <c r="L323" s="5">
        <v>229319</v>
      </c>
      <c r="M323" s="5">
        <v>96</v>
      </c>
      <c r="N323" s="5">
        <v>90</v>
      </c>
      <c r="O323" s="5">
        <v>79</v>
      </c>
      <c r="Q323" s="5">
        <v>454795</v>
      </c>
      <c r="R323" s="5">
        <v>68</v>
      </c>
      <c r="S323" s="5">
        <v>422740</v>
      </c>
      <c r="T323" s="5">
        <v>82</v>
      </c>
      <c r="U323" t="s">
        <v>444</v>
      </c>
      <c r="V323" s="2">
        <v>82.4</v>
      </c>
      <c r="W323" s="5">
        <f>Top_500_Movies_Ranked_by_Combined_Critics_and_Audience_Scores[[#This Row],[Critic_Rating_RT]]-Top_500_Movies_Ranked_by_Combined_Critics_and_Audience_Scores[[#This Row],[Audience_Rating]]</f>
        <v>90</v>
      </c>
      <c r="X323" s="5">
        <f>FLOOR(Top_500_Movies_Ranked_by_Combined_Critics_and_Audience_Scores[[#This Row],[Year]],10)</f>
        <v>1930</v>
      </c>
    </row>
    <row r="324" spans="1:24" x14ac:dyDescent="0.2">
      <c r="A324" s="3">
        <v>323</v>
      </c>
      <c r="B324" t="s">
        <v>3172</v>
      </c>
      <c r="C324" s="5">
        <v>1995</v>
      </c>
      <c r="D324" t="s">
        <v>3173</v>
      </c>
      <c r="E324" t="s">
        <v>1768</v>
      </c>
      <c r="F324" t="s">
        <v>30</v>
      </c>
      <c r="G324" t="s">
        <v>3176</v>
      </c>
      <c r="H324" t="s">
        <v>353</v>
      </c>
      <c r="I324" s="5">
        <v>81</v>
      </c>
      <c r="J324" s="4">
        <v>8.6</v>
      </c>
      <c r="K324" s="5">
        <v>86</v>
      </c>
      <c r="L324" s="5">
        <v>1895482</v>
      </c>
      <c r="M324" s="5">
        <v>65</v>
      </c>
      <c r="N324" s="5">
        <v>74</v>
      </c>
      <c r="O324" s="5">
        <v>96</v>
      </c>
      <c r="P324" s="5">
        <v>92</v>
      </c>
      <c r="Q324" s="5">
        <v>1066629</v>
      </c>
      <c r="R324" s="5">
        <v>86</v>
      </c>
      <c r="S324" s="5">
        <v>2259303</v>
      </c>
      <c r="T324" s="5">
        <v>91</v>
      </c>
      <c r="U324" t="s">
        <v>135</v>
      </c>
      <c r="V324" s="2">
        <v>82.33</v>
      </c>
      <c r="W324" s="5">
        <f>Top_500_Movies_Ranked_by_Combined_Critics_and_Audience_Scores[[#This Row],[Critic_Rating_RT]]-Top_500_Movies_Ranked_by_Combined_Critics_and_Audience_Scores[[#This Row],[Audience_Rating]]</f>
        <v>-18</v>
      </c>
      <c r="X324" s="5">
        <f>FLOOR(Top_500_Movies_Ranked_by_Combined_Critics_and_Audience_Scores[[#This Row],[Year]],10)</f>
        <v>1990</v>
      </c>
    </row>
    <row r="325" spans="1:24" x14ac:dyDescent="0.2">
      <c r="A325" s="3">
        <v>324</v>
      </c>
      <c r="B325" t="s">
        <v>3183</v>
      </c>
      <c r="C325" s="5">
        <v>2007</v>
      </c>
      <c r="D325" t="s">
        <v>3184</v>
      </c>
      <c r="E325" t="s">
        <v>3185</v>
      </c>
      <c r="F325" t="s">
        <v>30</v>
      </c>
      <c r="G325" t="s">
        <v>3188</v>
      </c>
      <c r="H325" t="s">
        <v>85</v>
      </c>
      <c r="I325" s="5">
        <v>81</v>
      </c>
      <c r="J325" s="4">
        <v>8</v>
      </c>
      <c r="K325" s="5">
        <v>80</v>
      </c>
      <c r="L325" s="5">
        <v>669722</v>
      </c>
      <c r="M325" s="5">
        <v>85</v>
      </c>
      <c r="N325" s="5">
        <v>81</v>
      </c>
      <c r="O325" s="5">
        <v>163</v>
      </c>
      <c r="P325" s="5">
        <v>86</v>
      </c>
      <c r="Q325" s="5">
        <v>1363138</v>
      </c>
      <c r="R325" s="5">
        <v>74</v>
      </c>
      <c r="S325" s="5">
        <v>243104</v>
      </c>
      <c r="T325" s="5">
        <v>88</v>
      </c>
      <c r="U325" t="s">
        <v>75</v>
      </c>
      <c r="V325" s="2">
        <v>82.33</v>
      </c>
      <c r="W325" s="5">
        <f>Top_500_Movies_Ranked_by_Combined_Critics_and_Audience_Scores[[#This Row],[Critic_Rating_RT]]-Top_500_Movies_Ranked_by_Combined_Critics_and_Audience_Scores[[#This Row],[Audience_Rating]]</f>
        <v>-5</v>
      </c>
      <c r="X325" s="5">
        <f>FLOOR(Top_500_Movies_Ranked_by_Combined_Critics_and_Audience_Scores[[#This Row],[Year]],10)</f>
        <v>2000</v>
      </c>
    </row>
    <row r="326" spans="1:24" x14ac:dyDescent="0.2">
      <c r="A326" s="3">
        <v>325</v>
      </c>
      <c r="B326" t="s">
        <v>3192</v>
      </c>
      <c r="C326" s="5">
        <v>2006</v>
      </c>
      <c r="D326" t="s">
        <v>27</v>
      </c>
      <c r="E326" t="s">
        <v>3193</v>
      </c>
      <c r="F326" t="s">
        <v>30</v>
      </c>
      <c r="G326" t="s">
        <v>3196</v>
      </c>
      <c r="H326" t="s">
        <v>1451</v>
      </c>
      <c r="I326" s="5">
        <v>81</v>
      </c>
      <c r="J326" s="4">
        <v>7.7</v>
      </c>
      <c r="K326" s="5">
        <v>77</v>
      </c>
      <c r="L326" s="5">
        <v>131520</v>
      </c>
      <c r="M326" s="5">
        <v>86</v>
      </c>
      <c r="N326" s="5">
        <v>79</v>
      </c>
      <c r="O326" s="5">
        <v>71</v>
      </c>
      <c r="P326" s="5">
        <v>86</v>
      </c>
      <c r="Q326" s="5">
        <v>68178</v>
      </c>
      <c r="R326" s="5">
        <v>82</v>
      </c>
      <c r="S326" s="5">
        <v>94846</v>
      </c>
      <c r="T326" s="5">
        <v>84</v>
      </c>
      <c r="U326" t="s">
        <v>617</v>
      </c>
      <c r="V326" s="2">
        <v>82.33</v>
      </c>
      <c r="W326" s="5">
        <f>Top_500_Movies_Ranked_by_Combined_Critics_and_Audience_Scores[[#This Row],[Critic_Rating_RT]]-Top_500_Movies_Ranked_by_Combined_Critics_and_Audience_Scores[[#This Row],[Audience_Rating]]</f>
        <v>-7</v>
      </c>
      <c r="X326" s="5">
        <f>FLOOR(Top_500_Movies_Ranked_by_Combined_Critics_and_Audience_Scores[[#This Row],[Year]],10)</f>
        <v>2000</v>
      </c>
    </row>
    <row r="327" spans="1:24" x14ac:dyDescent="0.2">
      <c r="A327" s="3">
        <v>326</v>
      </c>
      <c r="B327" t="s">
        <v>3201</v>
      </c>
      <c r="C327" s="5">
        <v>2013</v>
      </c>
      <c r="D327" t="s">
        <v>65</v>
      </c>
      <c r="E327" t="s">
        <v>3202</v>
      </c>
      <c r="F327" t="s">
        <v>30</v>
      </c>
      <c r="G327" t="s">
        <v>3205</v>
      </c>
      <c r="H327" t="s">
        <v>4317</v>
      </c>
      <c r="I327" s="5">
        <v>81</v>
      </c>
      <c r="J327" s="4">
        <v>7.9</v>
      </c>
      <c r="K327" s="5">
        <v>79</v>
      </c>
      <c r="L327" s="5">
        <v>93484</v>
      </c>
      <c r="M327" s="5">
        <v>82</v>
      </c>
      <c r="N327" s="5">
        <v>84</v>
      </c>
      <c r="O327" s="5">
        <v>123</v>
      </c>
      <c r="P327" s="5">
        <v>88</v>
      </c>
      <c r="Q327" s="5">
        <v>58097</v>
      </c>
      <c r="R327" s="5">
        <v>84</v>
      </c>
      <c r="S327" s="5">
        <v>131005</v>
      </c>
      <c r="T327" s="5">
        <v>77</v>
      </c>
      <c r="U327" t="s">
        <v>253</v>
      </c>
      <c r="V327" s="2">
        <v>82.33</v>
      </c>
      <c r="W327" s="5">
        <f>Top_500_Movies_Ranked_by_Combined_Critics_and_Audience_Scores[[#This Row],[Critic_Rating_RT]]-Top_500_Movies_Ranked_by_Combined_Critics_and_Audience_Scores[[#This Row],[Audience_Rating]]</f>
        <v>-4</v>
      </c>
      <c r="X327" s="5">
        <f>FLOOR(Top_500_Movies_Ranked_by_Combined_Critics_and_Audience_Scores[[#This Row],[Year]],10)</f>
        <v>2010</v>
      </c>
    </row>
    <row r="328" spans="1:24" x14ac:dyDescent="0.2">
      <c r="A328" s="3">
        <v>327</v>
      </c>
      <c r="B328" t="s">
        <v>3210</v>
      </c>
      <c r="C328" s="5">
        <v>2006</v>
      </c>
      <c r="D328" t="s">
        <v>2429</v>
      </c>
      <c r="E328" t="s">
        <v>3211</v>
      </c>
      <c r="F328" t="s">
        <v>30</v>
      </c>
      <c r="G328" t="s">
        <v>3214</v>
      </c>
      <c r="H328" t="s">
        <v>3215</v>
      </c>
      <c r="I328" s="5">
        <v>82</v>
      </c>
      <c r="J328" s="4">
        <v>8</v>
      </c>
      <c r="K328" s="5">
        <v>80</v>
      </c>
      <c r="L328" s="5">
        <v>714725</v>
      </c>
      <c r="M328" s="5">
        <v>80</v>
      </c>
      <c r="N328" s="5">
        <v>79</v>
      </c>
      <c r="O328" s="5">
        <v>151</v>
      </c>
      <c r="P328" s="5">
        <v>85</v>
      </c>
      <c r="Q328" s="5">
        <v>691353</v>
      </c>
      <c r="R328" s="5">
        <v>80</v>
      </c>
      <c r="S328" s="5">
        <v>663848</v>
      </c>
      <c r="T328" s="5">
        <v>90</v>
      </c>
      <c r="U328" t="s">
        <v>75</v>
      </c>
      <c r="V328" s="2">
        <v>82.33</v>
      </c>
      <c r="W328" s="5">
        <f>Top_500_Movies_Ranked_by_Combined_Critics_and_Audience_Scores[[#This Row],[Critic_Rating_RT]]-Top_500_Movies_Ranked_by_Combined_Critics_and_Audience_Scores[[#This Row],[Audience_Rating]]</f>
        <v>-6</v>
      </c>
      <c r="X328" s="5">
        <f>FLOOR(Top_500_Movies_Ranked_by_Combined_Critics_and_Audience_Scores[[#This Row],[Year]],10)</f>
        <v>2000</v>
      </c>
    </row>
    <row r="329" spans="1:24" x14ac:dyDescent="0.2">
      <c r="A329" s="3">
        <v>328</v>
      </c>
      <c r="B329" t="s">
        <v>3220</v>
      </c>
      <c r="C329" s="5">
        <v>2023</v>
      </c>
      <c r="D329" t="s">
        <v>3221</v>
      </c>
      <c r="E329" t="s">
        <v>3222</v>
      </c>
      <c r="F329" t="s">
        <v>321</v>
      </c>
      <c r="G329" t="s">
        <v>4317</v>
      </c>
      <c r="H329" t="s">
        <v>4317</v>
      </c>
      <c r="I329" s="5">
        <v>82</v>
      </c>
      <c r="J329" s="4">
        <v>7.6</v>
      </c>
      <c r="K329" s="5">
        <v>76</v>
      </c>
      <c r="L329" s="5">
        <v>171286</v>
      </c>
      <c r="M329" s="5">
        <v>86</v>
      </c>
      <c r="N329" s="5">
        <v>85</v>
      </c>
      <c r="O329" s="5">
        <v>170</v>
      </c>
      <c r="Q329" s="5">
        <v>397269</v>
      </c>
      <c r="R329" s="5">
        <v>82</v>
      </c>
      <c r="S329" s="5">
        <v>1188175</v>
      </c>
      <c r="T329" s="5">
        <v>82</v>
      </c>
      <c r="U329" t="s">
        <v>885</v>
      </c>
      <c r="V329" s="2">
        <v>82.2</v>
      </c>
      <c r="W329" s="5">
        <f>Top_500_Movies_Ranked_by_Combined_Critics_and_Audience_Scores[[#This Row],[Critic_Rating_RT]]-Top_500_Movies_Ranked_by_Combined_Critics_and_Audience_Scores[[#This Row],[Audience_Rating]]</f>
        <v>85</v>
      </c>
      <c r="X329" s="5">
        <f>FLOOR(Top_500_Movies_Ranked_by_Combined_Critics_and_Audience_Scores[[#This Row],[Year]],10)</f>
        <v>2020</v>
      </c>
    </row>
    <row r="330" spans="1:24" x14ac:dyDescent="0.2">
      <c r="A330" s="3">
        <v>329</v>
      </c>
      <c r="B330" t="s">
        <v>3230</v>
      </c>
      <c r="C330" s="5">
        <v>2021</v>
      </c>
      <c r="D330" t="s">
        <v>3231</v>
      </c>
      <c r="E330" t="s">
        <v>4318</v>
      </c>
      <c r="F330" t="s">
        <v>321</v>
      </c>
      <c r="G330" t="s">
        <v>4317</v>
      </c>
      <c r="H330" t="s">
        <v>4317</v>
      </c>
      <c r="I330" s="5">
        <v>82</v>
      </c>
      <c r="J330" s="4">
        <v>7.4</v>
      </c>
      <c r="K330" s="5">
        <v>74</v>
      </c>
      <c r="L330" s="5">
        <v>19348</v>
      </c>
      <c r="M330" s="5">
        <v>93</v>
      </c>
      <c r="N330" s="5">
        <v>89</v>
      </c>
      <c r="O330" s="5">
        <v>128</v>
      </c>
      <c r="Q330" s="5">
        <v>42982</v>
      </c>
      <c r="R330" s="5">
        <v>82</v>
      </c>
      <c r="S330" s="5">
        <v>128593</v>
      </c>
      <c r="T330" s="5">
        <v>73</v>
      </c>
      <c r="U330" t="s">
        <v>4317</v>
      </c>
      <c r="V330" s="2">
        <v>82.2</v>
      </c>
      <c r="W330" s="5">
        <f>Top_500_Movies_Ranked_by_Combined_Critics_and_Audience_Scores[[#This Row],[Critic_Rating_RT]]-Top_500_Movies_Ranked_by_Combined_Critics_and_Audience_Scores[[#This Row],[Audience_Rating]]</f>
        <v>89</v>
      </c>
      <c r="X330" s="5">
        <f>FLOOR(Top_500_Movies_Ranked_by_Combined_Critics_and_Audience_Scores[[#This Row],[Year]],10)</f>
        <v>2020</v>
      </c>
    </row>
    <row r="331" spans="1:24" x14ac:dyDescent="0.2">
      <c r="A331" s="3">
        <v>330</v>
      </c>
      <c r="B331" t="s">
        <v>3238</v>
      </c>
      <c r="C331" s="5">
        <v>2020</v>
      </c>
      <c r="D331" t="s">
        <v>992</v>
      </c>
      <c r="E331" t="s">
        <v>2336</v>
      </c>
      <c r="F331" t="s">
        <v>2338</v>
      </c>
      <c r="G331" t="s">
        <v>4317</v>
      </c>
      <c r="H331" t="s">
        <v>4317</v>
      </c>
      <c r="I331" s="5">
        <v>81</v>
      </c>
      <c r="J331" s="4">
        <v>7.7</v>
      </c>
      <c r="K331" s="5">
        <v>77</v>
      </c>
      <c r="L331" s="5">
        <v>211260</v>
      </c>
      <c r="M331" s="5">
        <v>79</v>
      </c>
      <c r="N331" s="5">
        <v>79</v>
      </c>
      <c r="O331" s="5">
        <v>149</v>
      </c>
      <c r="P331" s="5">
        <v>87</v>
      </c>
      <c r="Q331" s="5">
        <v>180599</v>
      </c>
      <c r="R331" s="5">
        <v>82</v>
      </c>
      <c r="S331" s="5">
        <v>538911</v>
      </c>
      <c r="T331" s="5">
        <v>89</v>
      </c>
      <c r="U331" t="s">
        <v>4317</v>
      </c>
      <c r="V331" s="2">
        <v>82.17</v>
      </c>
      <c r="W331" s="5">
        <f>Top_500_Movies_Ranked_by_Combined_Critics_and_Audience_Scores[[#This Row],[Critic_Rating_RT]]-Top_500_Movies_Ranked_by_Combined_Critics_and_Audience_Scores[[#This Row],[Audience_Rating]]</f>
        <v>-8</v>
      </c>
      <c r="X331" s="5">
        <f>FLOOR(Top_500_Movies_Ranked_by_Combined_Critics_and_Audience_Scores[[#This Row],[Year]],10)</f>
        <v>2020</v>
      </c>
    </row>
    <row r="332" spans="1:24" x14ac:dyDescent="0.2">
      <c r="A332" s="3">
        <v>331</v>
      </c>
      <c r="B332" t="s">
        <v>3246</v>
      </c>
      <c r="C332" s="5">
        <v>2018</v>
      </c>
      <c r="D332" t="s">
        <v>65</v>
      </c>
      <c r="E332" t="s">
        <v>4327</v>
      </c>
      <c r="F332" t="s">
        <v>492</v>
      </c>
      <c r="G332" t="s">
        <v>4317</v>
      </c>
      <c r="H332" t="s">
        <v>4317</v>
      </c>
      <c r="I332" s="5">
        <v>84</v>
      </c>
      <c r="J332" s="4">
        <v>7.7</v>
      </c>
      <c r="K332" s="5">
        <v>77</v>
      </c>
      <c r="L332" s="5">
        <v>173824</v>
      </c>
      <c r="M332" s="5">
        <v>96</v>
      </c>
      <c r="N332" s="5">
        <v>92</v>
      </c>
      <c r="O332" s="5">
        <v>250</v>
      </c>
      <c r="P332" s="5">
        <v>73</v>
      </c>
      <c r="Q332" s="5">
        <v>141177</v>
      </c>
      <c r="R332" s="5">
        <v>82</v>
      </c>
      <c r="S332" s="5">
        <v>411571</v>
      </c>
      <c r="T332" s="5">
        <v>73</v>
      </c>
      <c r="U332" t="s">
        <v>885</v>
      </c>
      <c r="V332" s="2">
        <v>82.17</v>
      </c>
      <c r="W332" s="5">
        <f>Top_500_Movies_Ranked_by_Combined_Critics_and_Audience_Scores[[#This Row],[Critic_Rating_RT]]-Top_500_Movies_Ranked_by_Combined_Critics_and_Audience_Scores[[#This Row],[Audience_Rating]]</f>
        <v>19</v>
      </c>
      <c r="X332" s="5">
        <f>FLOOR(Top_500_Movies_Ranked_by_Combined_Critics_and_Audience_Scores[[#This Row],[Year]],10)</f>
        <v>2010</v>
      </c>
    </row>
    <row r="333" spans="1:24" x14ac:dyDescent="0.2">
      <c r="A333" s="3">
        <v>332</v>
      </c>
      <c r="B333" t="s">
        <v>3253</v>
      </c>
      <c r="C333" s="5">
        <v>1953</v>
      </c>
      <c r="D333" t="s">
        <v>3254</v>
      </c>
      <c r="E333" t="s">
        <v>654</v>
      </c>
      <c r="F333" t="s">
        <v>30</v>
      </c>
      <c r="G333" t="s">
        <v>3257</v>
      </c>
      <c r="H333" t="s">
        <v>33</v>
      </c>
      <c r="I333" s="5">
        <v>81</v>
      </c>
      <c r="J333" s="4">
        <v>8</v>
      </c>
      <c r="K333" s="5">
        <v>80</v>
      </c>
      <c r="L333" s="5">
        <v>151851</v>
      </c>
      <c r="M333" s="5">
        <v>78</v>
      </c>
      <c r="N333" s="5">
        <v>83</v>
      </c>
      <c r="O333" s="5">
        <v>58</v>
      </c>
      <c r="P333" s="5">
        <v>89</v>
      </c>
      <c r="Q333" s="5">
        <v>108625</v>
      </c>
      <c r="R333" s="5">
        <v>84</v>
      </c>
      <c r="S333" s="5">
        <v>198567</v>
      </c>
      <c r="T333" s="5">
        <v>79</v>
      </c>
      <c r="U333" t="s">
        <v>75</v>
      </c>
      <c r="V333" s="2">
        <v>82.17</v>
      </c>
      <c r="W333" s="5">
        <f>Top_500_Movies_Ranked_by_Combined_Critics_and_Audience_Scores[[#This Row],[Critic_Rating_RT]]-Top_500_Movies_Ranked_by_Combined_Critics_and_Audience_Scores[[#This Row],[Audience_Rating]]</f>
        <v>-6</v>
      </c>
      <c r="X333" s="5">
        <f>FLOOR(Top_500_Movies_Ranked_by_Combined_Critics_and_Audience_Scores[[#This Row],[Year]],10)</f>
        <v>1950</v>
      </c>
    </row>
    <row r="334" spans="1:24" x14ac:dyDescent="0.2">
      <c r="A334" s="3">
        <v>333</v>
      </c>
      <c r="B334" t="s">
        <v>3262</v>
      </c>
      <c r="C334" s="5">
        <v>1999</v>
      </c>
      <c r="D334" t="s">
        <v>3263</v>
      </c>
      <c r="E334" t="s">
        <v>3264</v>
      </c>
      <c r="F334" t="s">
        <v>30</v>
      </c>
      <c r="G334" t="s">
        <v>3267</v>
      </c>
      <c r="H334" t="s">
        <v>216</v>
      </c>
      <c r="I334" s="5">
        <v>82</v>
      </c>
      <c r="J334" s="4">
        <v>8.6999999999999993</v>
      </c>
      <c r="K334" s="5">
        <v>87</v>
      </c>
      <c r="L334" s="5">
        <v>2141445</v>
      </c>
      <c r="M334" s="5">
        <v>73</v>
      </c>
      <c r="N334" s="5">
        <v>76</v>
      </c>
      <c r="O334" s="5">
        <v>130</v>
      </c>
      <c r="P334" s="5">
        <v>84</v>
      </c>
      <c r="Q334" s="5">
        <v>22870385</v>
      </c>
      <c r="R334" s="5">
        <v>84</v>
      </c>
      <c r="S334" s="5">
        <v>1962752</v>
      </c>
      <c r="T334" s="5">
        <v>89</v>
      </c>
      <c r="U334" t="s">
        <v>135</v>
      </c>
      <c r="V334" s="2">
        <v>82.17</v>
      </c>
      <c r="W334" s="5">
        <f>Top_500_Movies_Ranked_by_Combined_Critics_and_Audience_Scores[[#This Row],[Critic_Rating_RT]]-Top_500_Movies_Ranked_by_Combined_Critics_and_Audience_Scores[[#This Row],[Audience_Rating]]</f>
        <v>-8</v>
      </c>
      <c r="X334" s="5">
        <f>FLOOR(Top_500_Movies_Ranked_by_Combined_Critics_and_Audience_Scores[[#This Row],[Year]],10)</f>
        <v>1990</v>
      </c>
    </row>
    <row r="335" spans="1:24" x14ac:dyDescent="0.2">
      <c r="A335" s="3">
        <v>334</v>
      </c>
      <c r="B335" t="s">
        <v>3271</v>
      </c>
      <c r="C335" s="5">
        <v>2015</v>
      </c>
      <c r="D335" t="s">
        <v>3272</v>
      </c>
      <c r="E335" t="s">
        <v>3273</v>
      </c>
      <c r="F335" t="s">
        <v>30</v>
      </c>
      <c r="G335" t="s">
        <v>4317</v>
      </c>
      <c r="H335" t="s">
        <v>1462</v>
      </c>
      <c r="I335" s="5">
        <v>82</v>
      </c>
      <c r="J335" s="4">
        <v>7.5</v>
      </c>
      <c r="K335" s="5">
        <v>75</v>
      </c>
      <c r="L335" s="5">
        <v>154679</v>
      </c>
      <c r="M335" s="5">
        <v>88</v>
      </c>
      <c r="N335" s="5">
        <v>86</v>
      </c>
      <c r="O335" s="5">
        <v>172</v>
      </c>
      <c r="P335" s="5">
        <v>83</v>
      </c>
      <c r="Q335" s="5">
        <v>98812</v>
      </c>
      <c r="R335" s="5">
        <v>76</v>
      </c>
      <c r="S335" s="5">
        <v>202318</v>
      </c>
      <c r="T335" s="5">
        <v>85</v>
      </c>
      <c r="U335" t="s">
        <v>75</v>
      </c>
      <c r="V335" s="2">
        <v>82.17</v>
      </c>
      <c r="W335" s="5">
        <f>Top_500_Movies_Ranked_by_Combined_Critics_and_Audience_Scores[[#This Row],[Critic_Rating_RT]]-Top_500_Movies_Ranked_by_Combined_Critics_and_Audience_Scores[[#This Row],[Audience_Rating]]</f>
        <v>3</v>
      </c>
      <c r="X335" s="5">
        <f>FLOOR(Top_500_Movies_Ranked_by_Combined_Critics_and_Audience_Scores[[#This Row],[Year]],10)</f>
        <v>2010</v>
      </c>
    </row>
    <row r="336" spans="1:24" x14ac:dyDescent="0.2">
      <c r="A336" s="3">
        <v>335</v>
      </c>
      <c r="B336" t="s">
        <v>3280</v>
      </c>
      <c r="C336" s="5">
        <v>2006</v>
      </c>
      <c r="D336" t="s">
        <v>3281</v>
      </c>
      <c r="E336" t="s">
        <v>1593</v>
      </c>
      <c r="F336" t="s">
        <v>30</v>
      </c>
      <c r="G336" t="s">
        <v>3284</v>
      </c>
      <c r="H336" t="s">
        <v>216</v>
      </c>
      <c r="I336" s="5">
        <v>82</v>
      </c>
      <c r="J336" s="4">
        <v>7.8</v>
      </c>
      <c r="K336" s="5">
        <v>78</v>
      </c>
      <c r="L336" s="5">
        <v>173297</v>
      </c>
      <c r="M336" s="5">
        <v>89</v>
      </c>
      <c r="N336" s="5">
        <v>84</v>
      </c>
      <c r="O336" s="5">
        <v>129</v>
      </c>
      <c r="P336" s="5">
        <v>83</v>
      </c>
      <c r="Q336" s="5">
        <v>245983</v>
      </c>
      <c r="R336" s="5">
        <v>78</v>
      </c>
      <c r="S336" s="5">
        <v>55455</v>
      </c>
      <c r="T336" s="5">
        <v>81</v>
      </c>
      <c r="U336" t="s">
        <v>75</v>
      </c>
      <c r="V336" s="2">
        <v>82.17</v>
      </c>
      <c r="W336" s="5">
        <f>Top_500_Movies_Ranked_by_Combined_Critics_and_Audience_Scores[[#This Row],[Critic_Rating_RT]]-Top_500_Movies_Ranked_by_Combined_Critics_and_Audience_Scores[[#This Row],[Audience_Rating]]</f>
        <v>1</v>
      </c>
      <c r="X336" s="5">
        <f>FLOOR(Top_500_Movies_Ranked_by_Combined_Critics_and_Audience_Scores[[#This Row],[Year]],10)</f>
        <v>2000</v>
      </c>
    </row>
    <row r="337" spans="1:24" x14ac:dyDescent="0.2">
      <c r="A337" s="3">
        <v>336</v>
      </c>
      <c r="B337" t="s">
        <v>3289</v>
      </c>
      <c r="C337" s="5">
        <v>2004</v>
      </c>
      <c r="D337" t="s">
        <v>3290</v>
      </c>
      <c r="E337" t="s">
        <v>4327</v>
      </c>
      <c r="F337" t="s">
        <v>30</v>
      </c>
      <c r="G337" t="s">
        <v>3293</v>
      </c>
      <c r="H337" t="s">
        <v>216</v>
      </c>
      <c r="I337" s="5">
        <v>82</v>
      </c>
      <c r="J337" s="4">
        <v>7.9</v>
      </c>
      <c r="K337" s="5">
        <v>79</v>
      </c>
      <c r="L337" s="5">
        <v>724666</v>
      </c>
      <c r="M337" s="5">
        <v>82</v>
      </c>
      <c r="N337" s="5">
        <v>79</v>
      </c>
      <c r="O337" s="5">
        <v>156</v>
      </c>
      <c r="P337" s="5">
        <v>84</v>
      </c>
      <c r="Q337" s="5">
        <v>1415939</v>
      </c>
      <c r="R337" s="5">
        <v>82</v>
      </c>
      <c r="S337" s="5">
        <v>1907407</v>
      </c>
      <c r="T337" s="5">
        <v>87</v>
      </c>
      <c r="U337" t="s">
        <v>3296</v>
      </c>
      <c r="V337" s="2">
        <v>82.17</v>
      </c>
      <c r="W337" s="5">
        <f>Top_500_Movies_Ranked_by_Combined_Critics_and_Audience_Scores[[#This Row],[Critic_Rating_RT]]-Top_500_Movies_Ranked_by_Combined_Critics_and_Audience_Scores[[#This Row],[Audience_Rating]]</f>
        <v>-5</v>
      </c>
      <c r="X337" s="5">
        <f>FLOOR(Top_500_Movies_Ranked_by_Combined_Critics_and_Audience_Scores[[#This Row],[Year]],10)</f>
        <v>2000</v>
      </c>
    </row>
    <row r="338" spans="1:24" x14ac:dyDescent="0.2">
      <c r="A338" s="3">
        <v>337</v>
      </c>
      <c r="B338" t="s">
        <v>3299</v>
      </c>
      <c r="C338" s="5">
        <v>2002</v>
      </c>
      <c r="D338" t="s">
        <v>211</v>
      </c>
      <c r="E338" t="s">
        <v>4324</v>
      </c>
      <c r="F338" t="s">
        <v>492</v>
      </c>
      <c r="G338" t="s">
        <v>4317</v>
      </c>
      <c r="H338" t="s">
        <v>4317</v>
      </c>
      <c r="I338" s="5">
        <v>81</v>
      </c>
      <c r="J338" s="4">
        <v>7.9</v>
      </c>
      <c r="K338" s="5">
        <v>79</v>
      </c>
      <c r="L338" s="5">
        <v>119714</v>
      </c>
      <c r="M338" s="5">
        <v>86</v>
      </c>
      <c r="N338" s="5">
        <v>82</v>
      </c>
      <c r="O338" s="5">
        <v>71</v>
      </c>
      <c r="P338" s="5">
        <v>88</v>
      </c>
      <c r="Q338" s="5">
        <v>64196</v>
      </c>
      <c r="R338" s="5">
        <v>78</v>
      </c>
      <c r="S338" s="5">
        <v>86386</v>
      </c>
      <c r="T338" s="5">
        <v>80</v>
      </c>
      <c r="U338" t="s">
        <v>325</v>
      </c>
      <c r="V338" s="2">
        <v>82.17</v>
      </c>
      <c r="W338" s="5">
        <f>Top_500_Movies_Ranked_by_Combined_Critics_and_Audience_Scores[[#This Row],[Critic_Rating_RT]]-Top_500_Movies_Ranked_by_Combined_Critics_and_Audience_Scores[[#This Row],[Audience_Rating]]</f>
        <v>-6</v>
      </c>
      <c r="X338" s="5">
        <f>FLOOR(Top_500_Movies_Ranked_by_Combined_Critics_and_Audience_Scores[[#This Row],[Year]],10)</f>
        <v>2000</v>
      </c>
    </row>
    <row r="339" spans="1:24" x14ac:dyDescent="0.2">
      <c r="A339" s="3">
        <v>338</v>
      </c>
      <c r="B339" t="s">
        <v>3306</v>
      </c>
      <c r="C339" s="5">
        <v>2004</v>
      </c>
      <c r="D339" t="s">
        <v>3307</v>
      </c>
      <c r="E339" t="s">
        <v>3308</v>
      </c>
      <c r="F339" t="s">
        <v>30</v>
      </c>
      <c r="G339" t="s">
        <v>3311</v>
      </c>
      <c r="H339" t="s">
        <v>614</v>
      </c>
      <c r="I339" s="5">
        <v>81</v>
      </c>
      <c r="J339" s="4">
        <v>7.9</v>
      </c>
      <c r="K339" s="5">
        <v>79</v>
      </c>
      <c r="L339" s="5">
        <v>616400</v>
      </c>
      <c r="M339" s="5">
        <v>76</v>
      </c>
      <c r="N339" s="5">
        <v>78</v>
      </c>
      <c r="O339" s="5">
        <v>147</v>
      </c>
      <c r="P339" s="5">
        <v>88</v>
      </c>
      <c r="Q339" s="5">
        <v>640908</v>
      </c>
      <c r="R339" s="5">
        <v>80</v>
      </c>
      <c r="S339" s="5">
        <v>923980</v>
      </c>
      <c r="T339" s="5">
        <v>92</v>
      </c>
      <c r="U339" t="s">
        <v>75</v>
      </c>
      <c r="V339" s="2">
        <v>82.17</v>
      </c>
      <c r="W339" s="5">
        <f>Top_500_Movies_Ranked_by_Combined_Critics_and_Audience_Scores[[#This Row],[Critic_Rating_RT]]-Top_500_Movies_Ranked_by_Combined_Critics_and_Audience_Scores[[#This Row],[Audience_Rating]]</f>
        <v>-10</v>
      </c>
      <c r="X339" s="5">
        <f>FLOOR(Top_500_Movies_Ranked_by_Combined_Critics_and_Audience_Scores[[#This Row],[Year]],10)</f>
        <v>2000</v>
      </c>
    </row>
    <row r="340" spans="1:24" x14ac:dyDescent="0.2">
      <c r="A340" s="3">
        <v>339</v>
      </c>
      <c r="B340" t="s">
        <v>3316</v>
      </c>
      <c r="C340" s="5">
        <v>2019</v>
      </c>
      <c r="D340" t="s">
        <v>65</v>
      </c>
      <c r="E340" t="s">
        <v>4324</v>
      </c>
      <c r="F340" t="s">
        <v>492</v>
      </c>
      <c r="G340" t="s">
        <v>4317</v>
      </c>
      <c r="H340" t="s">
        <v>4317</v>
      </c>
      <c r="I340" s="5">
        <v>81</v>
      </c>
      <c r="J340" s="4">
        <v>7.5</v>
      </c>
      <c r="K340" s="5">
        <v>75</v>
      </c>
      <c r="L340" s="5">
        <v>65351</v>
      </c>
      <c r="M340" s="5">
        <v>87</v>
      </c>
      <c r="N340" s="5">
        <v>84</v>
      </c>
      <c r="O340" s="5">
        <v>183</v>
      </c>
      <c r="P340" s="5">
        <v>86</v>
      </c>
      <c r="Q340" s="5">
        <v>50524</v>
      </c>
      <c r="R340" s="5">
        <v>82</v>
      </c>
      <c r="S340" s="5">
        <v>148033</v>
      </c>
      <c r="T340" s="5">
        <v>79</v>
      </c>
      <c r="U340" t="s">
        <v>1502</v>
      </c>
      <c r="V340" s="2">
        <v>82.17</v>
      </c>
      <c r="W340" s="5">
        <f>Top_500_Movies_Ranked_by_Combined_Critics_and_Audience_Scores[[#This Row],[Critic_Rating_RT]]-Top_500_Movies_Ranked_by_Combined_Critics_and_Audience_Scores[[#This Row],[Audience_Rating]]</f>
        <v>-2</v>
      </c>
      <c r="X340" s="5">
        <f>FLOOR(Top_500_Movies_Ranked_by_Combined_Critics_and_Audience_Scores[[#This Row],[Year]],10)</f>
        <v>2010</v>
      </c>
    </row>
    <row r="341" spans="1:24" x14ac:dyDescent="0.2">
      <c r="A341" s="3">
        <v>340</v>
      </c>
      <c r="B341" t="s">
        <v>3323</v>
      </c>
      <c r="C341" s="5">
        <v>1973</v>
      </c>
      <c r="D341" t="s">
        <v>3324</v>
      </c>
      <c r="E341" t="s">
        <v>1675</v>
      </c>
      <c r="F341" t="s">
        <v>30</v>
      </c>
      <c r="G341" t="s">
        <v>3327</v>
      </c>
      <c r="H341" t="s">
        <v>216</v>
      </c>
      <c r="I341" s="5">
        <v>82</v>
      </c>
      <c r="J341" s="4">
        <v>8.1</v>
      </c>
      <c r="K341" s="5">
        <v>81</v>
      </c>
      <c r="L341" s="5">
        <v>474628</v>
      </c>
      <c r="M341" s="5">
        <v>83</v>
      </c>
      <c r="N341" s="5">
        <v>85</v>
      </c>
      <c r="O341" s="5">
        <v>124</v>
      </c>
      <c r="P341" s="5">
        <v>84</v>
      </c>
      <c r="Q341" s="5">
        <v>529464</v>
      </c>
      <c r="R341" s="5">
        <v>80</v>
      </c>
      <c r="S341" s="5">
        <v>745296</v>
      </c>
      <c r="T341" s="5">
        <v>79</v>
      </c>
      <c r="U341" t="s">
        <v>135</v>
      </c>
      <c r="V341" s="2">
        <v>82</v>
      </c>
      <c r="W341" s="5">
        <f>Top_500_Movies_Ranked_by_Combined_Critics_and_Audience_Scores[[#This Row],[Critic_Rating_RT]]-Top_500_Movies_Ranked_by_Combined_Critics_and_Audience_Scores[[#This Row],[Audience_Rating]]</f>
        <v>1</v>
      </c>
      <c r="X341" s="5">
        <f>FLOOR(Top_500_Movies_Ranked_by_Combined_Critics_and_Audience_Scores[[#This Row],[Year]],10)</f>
        <v>1970</v>
      </c>
    </row>
    <row r="342" spans="1:24" x14ac:dyDescent="0.2">
      <c r="A342" s="3">
        <v>341</v>
      </c>
      <c r="B342" t="s">
        <v>3332</v>
      </c>
      <c r="C342" s="5">
        <v>2014</v>
      </c>
      <c r="D342" t="s">
        <v>3333</v>
      </c>
      <c r="E342" t="s">
        <v>4333</v>
      </c>
      <c r="F342" t="s">
        <v>492</v>
      </c>
      <c r="G342" t="s">
        <v>3337</v>
      </c>
      <c r="H342" t="s">
        <v>335</v>
      </c>
      <c r="I342" s="5">
        <v>81</v>
      </c>
      <c r="J342" s="4">
        <v>8.1</v>
      </c>
      <c r="K342" s="5">
        <v>81</v>
      </c>
      <c r="L342" s="5">
        <v>226824</v>
      </c>
      <c r="M342" s="5">
        <v>77</v>
      </c>
      <c r="N342" s="5">
        <v>79</v>
      </c>
      <c r="O342" s="5">
        <v>124</v>
      </c>
      <c r="P342" s="5">
        <v>88</v>
      </c>
      <c r="Q342" s="5">
        <v>76384</v>
      </c>
      <c r="R342" s="5">
        <v>82</v>
      </c>
      <c r="S342" s="5">
        <v>199938</v>
      </c>
      <c r="T342" s="5">
        <v>85</v>
      </c>
      <c r="U342" t="s">
        <v>3340</v>
      </c>
      <c r="V342" s="2">
        <v>82</v>
      </c>
      <c r="W342" s="5">
        <f>Top_500_Movies_Ranked_by_Combined_Critics_and_Audience_Scores[[#This Row],[Critic_Rating_RT]]-Top_500_Movies_Ranked_by_Combined_Critics_and_Audience_Scores[[#This Row],[Audience_Rating]]</f>
        <v>-9</v>
      </c>
      <c r="X342" s="5">
        <f>FLOOR(Top_500_Movies_Ranked_by_Combined_Critics_and_Audience_Scores[[#This Row],[Year]],10)</f>
        <v>2010</v>
      </c>
    </row>
    <row r="343" spans="1:24" x14ac:dyDescent="0.2">
      <c r="A343" s="3">
        <v>342</v>
      </c>
      <c r="B343" t="s">
        <v>3343</v>
      </c>
      <c r="C343" s="5">
        <v>2013</v>
      </c>
      <c r="D343" t="s">
        <v>3344</v>
      </c>
      <c r="E343" t="s">
        <v>4327</v>
      </c>
      <c r="F343" t="s">
        <v>30</v>
      </c>
      <c r="G343" t="s">
        <v>3347</v>
      </c>
      <c r="H343" t="s">
        <v>216</v>
      </c>
      <c r="I343" s="5">
        <v>82</v>
      </c>
      <c r="J343" s="4">
        <v>7.7</v>
      </c>
      <c r="K343" s="5">
        <v>77</v>
      </c>
      <c r="L343" s="5">
        <v>879467</v>
      </c>
      <c r="M343" s="5">
        <v>96</v>
      </c>
      <c r="N343" s="5">
        <v>92</v>
      </c>
      <c r="O343" s="5">
        <v>304</v>
      </c>
      <c r="P343" s="5">
        <v>78</v>
      </c>
      <c r="Q343" s="5">
        <v>441081</v>
      </c>
      <c r="R343" s="5">
        <v>70</v>
      </c>
      <c r="S343" s="5">
        <v>715076</v>
      </c>
      <c r="T343" s="5">
        <v>79</v>
      </c>
      <c r="U343" t="s">
        <v>135</v>
      </c>
      <c r="V343" s="2">
        <v>82</v>
      </c>
      <c r="W343" s="5">
        <f>Top_500_Movies_Ranked_by_Combined_Critics_and_Audience_Scores[[#This Row],[Critic_Rating_RT]]-Top_500_Movies_Ranked_by_Combined_Critics_and_Audience_Scores[[#This Row],[Audience_Rating]]</f>
        <v>14</v>
      </c>
      <c r="X343" s="5">
        <f>FLOOR(Top_500_Movies_Ranked_by_Combined_Critics_and_Audience_Scores[[#This Row],[Year]],10)</f>
        <v>2010</v>
      </c>
    </row>
    <row r="344" spans="1:24" x14ac:dyDescent="0.2">
      <c r="A344" s="3">
        <v>343</v>
      </c>
      <c r="B344" t="s">
        <v>3352</v>
      </c>
      <c r="C344" s="5">
        <v>1932</v>
      </c>
      <c r="D344" t="s">
        <v>3353</v>
      </c>
      <c r="E344" t="s">
        <v>3354</v>
      </c>
      <c r="F344" t="s">
        <v>30</v>
      </c>
      <c r="G344" t="s">
        <v>2499</v>
      </c>
      <c r="H344" t="s">
        <v>239</v>
      </c>
      <c r="I344" s="5">
        <v>82</v>
      </c>
      <c r="J344" s="4">
        <v>7.8</v>
      </c>
      <c r="K344" s="5">
        <v>78</v>
      </c>
      <c r="L344" s="5">
        <v>52529</v>
      </c>
      <c r="M344" s="5">
        <v>80</v>
      </c>
      <c r="N344" s="5">
        <v>85</v>
      </c>
      <c r="O344" s="5">
        <v>56</v>
      </c>
      <c r="P344" s="5">
        <v>85</v>
      </c>
      <c r="Q344" s="5">
        <v>45243</v>
      </c>
      <c r="R344" s="5">
        <v>78</v>
      </c>
      <c r="S344" s="5">
        <v>86537</v>
      </c>
      <c r="T344" s="5">
        <v>86</v>
      </c>
      <c r="U344" t="s">
        <v>75</v>
      </c>
      <c r="V344" s="2">
        <v>82</v>
      </c>
      <c r="W344" s="5">
        <f>Top_500_Movies_Ranked_by_Combined_Critics_and_Audience_Scores[[#This Row],[Critic_Rating_RT]]-Top_500_Movies_Ranked_by_Combined_Critics_and_Audience_Scores[[#This Row],[Audience_Rating]]</f>
        <v>0</v>
      </c>
      <c r="X344" s="5">
        <f>FLOOR(Top_500_Movies_Ranked_by_Combined_Critics_and_Audience_Scores[[#This Row],[Year]],10)</f>
        <v>1930</v>
      </c>
    </row>
    <row r="345" spans="1:24" x14ac:dyDescent="0.2">
      <c r="A345" s="3">
        <v>344</v>
      </c>
      <c r="B345" t="s">
        <v>3361</v>
      </c>
      <c r="C345" s="5">
        <v>2009</v>
      </c>
      <c r="D345" t="s">
        <v>288</v>
      </c>
      <c r="E345" t="s">
        <v>153</v>
      </c>
      <c r="F345" t="s">
        <v>155</v>
      </c>
      <c r="G345" t="s">
        <v>3364</v>
      </c>
      <c r="H345" t="s">
        <v>2341</v>
      </c>
      <c r="I345" s="5">
        <v>81</v>
      </c>
      <c r="J345" s="4">
        <v>7.7</v>
      </c>
      <c r="K345" s="5">
        <v>77</v>
      </c>
      <c r="L345" s="5">
        <v>75873</v>
      </c>
      <c r="M345" s="5">
        <v>79</v>
      </c>
      <c r="N345" s="5">
        <v>79</v>
      </c>
      <c r="O345" s="5">
        <v>92</v>
      </c>
      <c r="P345" s="5">
        <v>85</v>
      </c>
      <c r="Q345" s="5">
        <v>59945</v>
      </c>
      <c r="R345" s="5">
        <v>84</v>
      </c>
      <c r="S345" s="5">
        <v>147147</v>
      </c>
      <c r="T345" s="5">
        <v>88</v>
      </c>
      <c r="U345" t="s">
        <v>75</v>
      </c>
      <c r="V345" s="2">
        <v>82</v>
      </c>
      <c r="W345" s="5">
        <f>Top_500_Movies_Ranked_by_Combined_Critics_and_Audience_Scores[[#This Row],[Critic_Rating_RT]]-Top_500_Movies_Ranked_by_Combined_Critics_and_Audience_Scores[[#This Row],[Audience_Rating]]</f>
        <v>-6</v>
      </c>
      <c r="X345" s="5">
        <f>FLOOR(Top_500_Movies_Ranked_by_Combined_Critics_and_Audience_Scores[[#This Row],[Year]],10)</f>
        <v>2000</v>
      </c>
    </row>
    <row r="346" spans="1:24" x14ac:dyDescent="0.2">
      <c r="A346" s="3">
        <v>345</v>
      </c>
      <c r="B346" t="s">
        <v>3369</v>
      </c>
      <c r="C346" s="5">
        <v>2015</v>
      </c>
      <c r="D346" t="s">
        <v>65</v>
      </c>
      <c r="E346" t="s">
        <v>4334</v>
      </c>
      <c r="F346" t="s">
        <v>2680</v>
      </c>
      <c r="G346" t="s">
        <v>4317</v>
      </c>
      <c r="H346" t="s">
        <v>4317</v>
      </c>
      <c r="I346" s="5">
        <v>81</v>
      </c>
      <c r="J346" s="4">
        <v>7.6</v>
      </c>
      <c r="K346" s="5">
        <v>76</v>
      </c>
      <c r="L346" s="5">
        <v>41838</v>
      </c>
      <c r="M346" s="5">
        <v>83</v>
      </c>
      <c r="N346" s="5">
        <v>82</v>
      </c>
      <c r="O346" s="5">
        <v>115</v>
      </c>
      <c r="P346" s="5">
        <v>85</v>
      </c>
      <c r="Q346" s="5">
        <v>38286</v>
      </c>
      <c r="R346" s="5">
        <v>84</v>
      </c>
      <c r="S346" s="5">
        <v>97313</v>
      </c>
      <c r="T346" s="5">
        <v>82</v>
      </c>
      <c r="U346" t="s">
        <v>1186</v>
      </c>
      <c r="V346" s="2">
        <v>82</v>
      </c>
      <c r="W346" s="5">
        <f>Top_500_Movies_Ranked_by_Combined_Critics_and_Audience_Scores[[#This Row],[Critic_Rating_RT]]-Top_500_Movies_Ranked_by_Combined_Critics_and_Audience_Scores[[#This Row],[Audience_Rating]]</f>
        <v>-3</v>
      </c>
      <c r="X346" s="5">
        <f>FLOOR(Top_500_Movies_Ranked_by_Combined_Critics_and_Audience_Scores[[#This Row],[Year]],10)</f>
        <v>2010</v>
      </c>
    </row>
    <row r="347" spans="1:24" x14ac:dyDescent="0.2">
      <c r="A347" s="3">
        <v>346</v>
      </c>
      <c r="B347" t="s">
        <v>3377</v>
      </c>
      <c r="C347" s="5">
        <v>2022</v>
      </c>
      <c r="D347" t="s">
        <v>1304</v>
      </c>
      <c r="E347" t="s">
        <v>3378</v>
      </c>
      <c r="F347" t="s">
        <v>30</v>
      </c>
      <c r="G347" t="s">
        <v>4317</v>
      </c>
      <c r="H347" t="s">
        <v>4317</v>
      </c>
      <c r="I347" s="5">
        <v>82</v>
      </c>
      <c r="J347" s="4">
        <v>7.8</v>
      </c>
      <c r="K347" s="5">
        <v>78</v>
      </c>
      <c r="L347" s="5">
        <v>577409</v>
      </c>
      <c r="M347" s="5">
        <v>81</v>
      </c>
      <c r="N347" s="5">
        <v>85</v>
      </c>
      <c r="O347" s="5">
        <v>246</v>
      </c>
      <c r="Q347" s="5">
        <v>1022591</v>
      </c>
      <c r="R347" s="5">
        <v>86</v>
      </c>
      <c r="S347" s="5">
        <v>3026289</v>
      </c>
      <c r="T347" s="5">
        <v>80</v>
      </c>
      <c r="U347" t="s">
        <v>3383</v>
      </c>
      <c r="V347" s="2">
        <v>82</v>
      </c>
      <c r="W347" s="5">
        <f>Top_500_Movies_Ranked_by_Combined_Critics_and_Audience_Scores[[#This Row],[Critic_Rating_RT]]-Top_500_Movies_Ranked_by_Combined_Critics_and_Audience_Scores[[#This Row],[Audience_Rating]]</f>
        <v>85</v>
      </c>
      <c r="X347" s="5">
        <f>FLOOR(Top_500_Movies_Ranked_by_Combined_Critics_and_Audience_Scores[[#This Row],[Year]],10)</f>
        <v>2020</v>
      </c>
    </row>
    <row r="348" spans="1:24" x14ac:dyDescent="0.2">
      <c r="A348" s="3">
        <v>347</v>
      </c>
      <c r="B348" t="s">
        <v>3386</v>
      </c>
      <c r="C348" s="5">
        <v>2023</v>
      </c>
      <c r="D348" t="s">
        <v>3387</v>
      </c>
      <c r="E348" t="s">
        <v>3388</v>
      </c>
      <c r="F348" t="s">
        <v>30</v>
      </c>
      <c r="G348" t="s">
        <v>4317</v>
      </c>
      <c r="H348" t="s">
        <v>4317</v>
      </c>
      <c r="I348" s="5">
        <v>82</v>
      </c>
      <c r="J348" s="4">
        <v>7.8</v>
      </c>
      <c r="K348" s="5">
        <v>78</v>
      </c>
      <c r="L348" s="5">
        <v>334198</v>
      </c>
      <c r="M348" s="5">
        <v>88</v>
      </c>
      <c r="N348" s="5">
        <v>86</v>
      </c>
      <c r="O348" s="5">
        <v>223</v>
      </c>
      <c r="Q348" s="5">
        <v>673949</v>
      </c>
      <c r="R348" s="5">
        <v>80</v>
      </c>
      <c r="S348" s="5">
        <v>2009015</v>
      </c>
      <c r="T348" s="5">
        <v>78</v>
      </c>
      <c r="U348" t="s">
        <v>2216</v>
      </c>
      <c r="V348" s="2">
        <v>82</v>
      </c>
      <c r="W348" s="5">
        <f>Top_500_Movies_Ranked_by_Combined_Critics_and_Audience_Scores[[#This Row],[Critic_Rating_RT]]-Top_500_Movies_Ranked_by_Combined_Critics_and_Audience_Scores[[#This Row],[Audience_Rating]]</f>
        <v>86</v>
      </c>
      <c r="X348" s="5">
        <f>FLOOR(Top_500_Movies_Ranked_by_Combined_Critics_and_Audience_Scores[[#This Row],[Year]],10)</f>
        <v>2020</v>
      </c>
    </row>
    <row r="349" spans="1:24" x14ac:dyDescent="0.2">
      <c r="A349" s="3">
        <v>348</v>
      </c>
      <c r="B349" t="s">
        <v>3395</v>
      </c>
      <c r="C349" s="5">
        <v>2018</v>
      </c>
      <c r="D349" t="s">
        <v>3396</v>
      </c>
      <c r="E349" t="s">
        <v>4335</v>
      </c>
      <c r="F349" t="s">
        <v>3399</v>
      </c>
      <c r="G349" t="s">
        <v>4317</v>
      </c>
      <c r="H349" t="s">
        <v>4317</v>
      </c>
      <c r="I349" s="5">
        <v>82</v>
      </c>
      <c r="J349" s="4">
        <v>7.5</v>
      </c>
      <c r="K349" s="5">
        <v>75</v>
      </c>
      <c r="L349" s="5">
        <v>63652</v>
      </c>
      <c r="M349" s="5">
        <v>90</v>
      </c>
      <c r="N349" s="5">
        <v>85</v>
      </c>
      <c r="O349" s="5">
        <v>163</v>
      </c>
      <c r="P349" s="5">
        <v>78</v>
      </c>
      <c r="Q349" s="5">
        <v>52289</v>
      </c>
      <c r="R349" s="5">
        <v>80</v>
      </c>
      <c r="S349" s="5">
        <v>152837</v>
      </c>
      <c r="T349" s="5">
        <v>83</v>
      </c>
      <c r="U349" t="s">
        <v>1858</v>
      </c>
      <c r="V349" s="2">
        <v>81.83</v>
      </c>
      <c r="W349" s="5">
        <f>Top_500_Movies_Ranked_by_Combined_Critics_and_Audience_Scores[[#This Row],[Critic_Rating_RT]]-Top_500_Movies_Ranked_by_Combined_Critics_and_Audience_Scores[[#This Row],[Audience_Rating]]</f>
        <v>7</v>
      </c>
      <c r="X349" s="5">
        <f>FLOOR(Top_500_Movies_Ranked_by_Combined_Critics_and_Audience_Scores[[#This Row],[Year]],10)</f>
        <v>2010</v>
      </c>
    </row>
    <row r="350" spans="1:24" x14ac:dyDescent="0.2">
      <c r="A350" s="3">
        <v>349</v>
      </c>
      <c r="B350" t="s">
        <v>3406</v>
      </c>
      <c r="C350" s="5">
        <v>2012</v>
      </c>
      <c r="D350" t="s">
        <v>1515</v>
      </c>
      <c r="E350" t="s">
        <v>2242</v>
      </c>
      <c r="F350" t="s">
        <v>30</v>
      </c>
      <c r="G350" t="s">
        <v>3409</v>
      </c>
      <c r="H350" t="s">
        <v>53</v>
      </c>
      <c r="I350" s="5">
        <v>82</v>
      </c>
      <c r="J350" s="4">
        <v>7.4</v>
      </c>
      <c r="K350" s="5">
        <v>74</v>
      </c>
      <c r="L350" s="5">
        <v>329226</v>
      </c>
      <c r="M350" s="5">
        <v>95</v>
      </c>
      <c r="N350" s="5">
        <v>88</v>
      </c>
      <c r="O350" s="5">
        <v>238</v>
      </c>
      <c r="P350" s="5">
        <v>77</v>
      </c>
      <c r="Q350" s="5">
        <v>205063</v>
      </c>
      <c r="R350" s="5">
        <v>74</v>
      </c>
      <c r="S350" s="5">
        <v>219887</v>
      </c>
      <c r="T350" s="5">
        <v>83</v>
      </c>
      <c r="U350" t="s">
        <v>2778</v>
      </c>
      <c r="V350" s="2">
        <v>81.83</v>
      </c>
      <c r="W350" s="5">
        <f>Top_500_Movies_Ranked_by_Combined_Critics_and_Audience_Scores[[#This Row],[Critic_Rating_RT]]-Top_500_Movies_Ranked_by_Combined_Critics_and_Audience_Scores[[#This Row],[Audience_Rating]]</f>
        <v>11</v>
      </c>
      <c r="X350" s="5">
        <f>FLOOR(Top_500_Movies_Ranked_by_Combined_Critics_and_Audience_Scores[[#This Row],[Year]],10)</f>
        <v>2010</v>
      </c>
    </row>
    <row r="351" spans="1:24" x14ac:dyDescent="0.2">
      <c r="A351" s="3">
        <v>350</v>
      </c>
      <c r="B351" t="s">
        <v>3414</v>
      </c>
      <c r="C351" s="5">
        <v>1993</v>
      </c>
      <c r="D351" t="s">
        <v>3415</v>
      </c>
      <c r="E351" t="s">
        <v>81</v>
      </c>
      <c r="F351" t="s">
        <v>30</v>
      </c>
      <c r="G351" t="s">
        <v>3418</v>
      </c>
      <c r="H351" t="s">
        <v>3419</v>
      </c>
      <c r="I351" s="5">
        <v>81</v>
      </c>
      <c r="J351" s="4">
        <v>8.1999999999999993</v>
      </c>
      <c r="K351" s="5">
        <v>82</v>
      </c>
      <c r="L351" s="5">
        <v>1111146</v>
      </c>
      <c r="M351" s="5">
        <v>68</v>
      </c>
      <c r="N351" s="5">
        <v>81</v>
      </c>
      <c r="O351" s="5">
        <v>100</v>
      </c>
      <c r="P351" s="5">
        <v>88</v>
      </c>
      <c r="Q351" s="5">
        <v>1217265</v>
      </c>
      <c r="R351" s="5">
        <v>82</v>
      </c>
      <c r="S351" s="5">
        <v>1503381</v>
      </c>
      <c r="T351" s="5">
        <v>90</v>
      </c>
      <c r="U351" t="s">
        <v>135</v>
      </c>
      <c r="V351" s="2">
        <v>81.83</v>
      </c>
      <c r="W351" s="5">
        <f>Top_500_Movies_Ranked_by_Combined_Critics_and_Audience_Scores[[#This Row],[Critic_Rating_RT]]-Top_500_Movies_Ranked_by_Combined_Critics_and_Audience_Scores[[#This Row],[Audience_Rating]]</f>
        <v>-7</v>
      </c>
      <c r="X351" s="5">
        <f>FLOOR(Top_500_Movies_Ranked_by_Combined_Critics_and_Audience_Scores[[#This Row],[Year]],10)</f>
        <v>1990</v>
      </c>
    </row>
    <row r="352" spans="1:24" x14ac:dyDescent="0.2">
      <c r="A352" s="3">
        <v>351</v>
      </c>
      <c r="B352" t="s">
        <v>3424</v>
      </c>
      <c r="C352" s="5">
        <v>2018</v>
      </c>
      <c r="D352" t="s">
        <v>3425</v>
      </c>
      <c r="E352" t="s">
        <v>3426</v>
      </c>
      <c r="F352" t="s">
        <v>30</v>
      </c>
      <c r="G352" t="s">
        <v>4317</v>
      </c>
      <c r="H352" t="s">
        <v>4317</v>
      </c>
      <c r="I352" s="5">
        <v>81</v>
      </c>
      <c r="J352" s="4">
        <v>7.7</v>
      </c>
      <c r="K352" s="5">
        <v>77</v>
      </c>
      <c r="L352" s="5">
        <v>392851</v>
      </c>
      <c r="M352" s="5">
        <v>87</v>
      </c>
      <c r="N352" s="5">
        <v>85</v>
      </c>
      <c r="O352" s="5">
        <v>265</v>
      </c>
      <c r="P352" s="5">
        <v>84</v>
      </c>
      <c r="Q352" s="5">
        <v>192557</v>
      </c>
      <c r="R352" s="5">
        <v>80</v>
      </c>
      <c r="S352" s="5">
        <v>542008</v>
      </c>
      <c r="T352" s="5">
        <v>78</v>
      </c>
      <c r="U352" t="s">
        <v>42</v>
      </c>
      <c r="V352" s="2">
        <v>81.83</v>
      </c>
      <c r="W352" s="5">
        <f>Top_500_Movies_Ranked_by_Combined_Critics_and_Audience_Scores[[#This Row],[Critic_Rating_RT]]-Top_500_Movies_Ranked_by_Combined_Critics_and_Audience_Scores[[#This Row],[Audience_Rating]]</f>
        <v>1</v>
      </c>
      <c r="X352" s="5">
        <f>FLOOR(Top_500_Movies_Ranked_by_Combined_Critics_and_Audience_Scores[[#This Row],[Year]],10)</f>
        <v>2010</v>
      </c>
    </row>
    <row r="353" spans="1:24" x14ac:dyDescent="0.2">
      <c r="A353" s="3">
        <v>352</v>
      </c>
      <c r="B353" t="s">
        <v>3433</v>
      </c>
      <c r="C353" s="5">
        <v>1973</v>
      </c>
      <c r="D353" t="s">
        <v>992</v>
      </c>
      <c r="E353" t="s">
        <v>510</v>
      </c>
      <c r="F353" t="s">
        <v>30</v>
      </c>
      <c r="G353" t="s">
        <v>3436</v>
      </c>
      <c r="H353" t="s">
        <v>85</v>
      </c>
      <c r="I353" s="5">
        <v>82</v>
      </c>
      <c r="J353" s="4">
        <v>7.4</v>
      </c>
      <c r="K353" s="5">
        <v>74</v>
      </c>
      <c r="L353" s="5">
        <v>101611</v>
      </c>
      <c r="M353" s="5">
        <v>97</v>
      </c>
      <c r="N353" s="5">
        <v>88</v>
      </c>
      <c r="O353" s="5">
        <v>51</v>
      </c>
      <c r="P353" s="5">
        <v>80</v>
      </c>
      <c r="Q353" s="5">
        <v>81508</v>
      </c>
      <c r="R353" s="5">
        <v>74</v>
      </c>
      <c r="S353" s="5">
        <v>114804</v>
      </c>
      <c r="T353" s="5">
        <v>78</v>
      </c>
      <c r="U353" t="s">
        <v>75</v>
      </c>
      <c r="V353" s="2">
        <v>81.83</v>
      </c>
      <c r="W353" s="5">
        <f>Top_500_Movies_Ranked_by_Combined_Critics_and_Audience_Scores[[#This Row],[Critic_Rating_RT]]-Top_500_Movies_Ranked_by_Combined_Critics_and_Audience_Scores[[#This Row],[Audience_Rating]]</f>
        <v>8</v>
      </c>
      <c r="X353" s="5">
        <f>FLOOR(Top_500_Movies_Ranked_by_Combined_Critics_and_Audience_Scores[[#This Row],[Year]],10)</f>
        <v>1970</v>
      </c>
    </row>
    <row r="354" spans="1:24" x14ac:dyDescent="0.2">
      <c r="A354" s="3">
        <v>353</v>
      </c>
      <c r="B354" t="s">
        <v>3441</v>
      </c>
      <c r="C354" s="5">
        <v>2004</v>
      </c>
      <c r="D354" t="s">
        <v>3442</v>
      </c>
      <c r="E354" t="s">
        <v>3063</v>
      </c>
      <c r="F354" t="s">
        <v>1221</v>
      </c>
      <c r="G354" t="s">
        <v>3445</v>
      </c>
      <c r="H354" t="s">
        <v>335</v>
      </c>
      <c r="I354" s="5">
        <v>82</v>
      </c>
      <c r="J354" s="4">
        <v>7.5</v>
      </c>
      <c r="K354" s="5">
        <v>75</v>
      </c>
      <c r="L354" s="5">
        <v>117784</v>
      </c>
      <c r="M354" s="5">
        <v>89</v>
      </c>
      <c r="N354" s="5">
        <v>80</v>
      </c>
      <c r="O354" s="5">
        <v>115</v>
      </c>
      <c r="P354" s="5">
        <v>79</v>
      </c>
      <c r="Q354" s="5">
        <v>161234</v>
      </c>
      <c r="R354" s="5">
        <v>76</v>
      </c>
      <c r="S354" s="5">
        <v>47680</v>
      </c>
      <c r="T354" s="5">
        <v>92</v>
      </c>
      <c r="U354" t="s">
        <v>75</v>
      </c>
      <c r="V354" s="2">
        <v>81.83</v>
      </c>
      <c r="W354" s="5">
        <f>Top_500_Movies_Ranked_by_Combined_Critics_and_Audience_Scores[[#This Row],[Critic_Rating_RT]]-Top_500_Movies_Ranked_by_Combined_Critics_and_Audience_Scores[[#This Row],[Audience_Rating]]</f>
        <v>1</v>
      </c>
      <c r="X354" s="5">
        <f>FLOOR(Top_500_Movies_Ranked_by_Combined_Critics_and_Audience_Scores[[#This Row],[Year]],10)</f>
        <v>2000</v>
      </c>
    </row>
    <row r="355" spans="1:24" x14ac:dyDescent="0.2">
      <c r="A355" s="3">
        <v>354</v>
      </c>
      <c r="B355" t="s">
        <v>3450</v>
      </c>
      <c r="C355" s="5">
        <v>2006</v>
      </c>
      <c r="D355" t="s">
        <v>126</v>
      </c>
      <c r="E355" t="s">
        <v>4324</v>
      </c>
      <c r="F355" t="s">
        <v>492</v>
      </c>
      <c r="G355" t="s">
        <v>3453</v>
      </c>
      <c r="H355" t="s">
        <v>335</v>
      </c>
      <c r="I355" s="5">
        <v>81</v>
      </c>
      <c r="J355" s="4">
        <v>7.6</v>
      </c>
      <c r="K355" s="5">
        <v>76</v>
      </c>
      <c r="L355" s="5">
        <v>109883</v>
      </c>
      <c r="M355" s="5">
        <v>84</v>
      </c>
      <c r="N355" s="5">
        <v>80</v>
      </c>
      <c r="O355" s="5">
        <v>97</v>
      </c>
      <c r="P355" s="5">
        <v>85</v>
      </c>
      <c r="Q355" s="5">
        <v>96864</v>
      </c>
      <c r="R355" s="5">
        <v>82</v>
      </c>
      <c r="S355" s="5">
        <v>146336</v>
      </c>
      <c r="T355" s="5">
        <v>84</v>
      </c>
      <c r="U355" t="s">
        <v>75</v>
      </c>
      <c r="V355" s="2">
        <v>81.83</v>
      </c>
      <c r="W355" s="5">
        <f>Top_500_Movies_Ranked_by_Combined_Critics_and_Audience_Scores[[#This Row],[Critic_Rating_RT]]-Top_500_Movies_Ranked_by_Combined_Critics_and_Audience_Scores[[#This Row],[Audience_Rating]]</f>
        <v>-5</v>
      </c>
      <c r="X355" s="5">
        <f>FLOOR(Top_500_Movies_Ranked_by_Combined_Critics_and_Audience_Scores[[#This Row],[Year]],10)</f>
        <v>2000</v>
      </c>
    </row>
    <row r="356" spans="1:24" x14ac:dyDescent="0.2">
      <c r="A356" s="3">
        <v>355</v>
      </c>
      <c r="B356" t="s">
        <v>3458</v>
      </c>
      <c r="C356" s="5">
        <v>2013</v>
      </c>
      <c r="D356" t="s">
        <v>448</v>
      </c>
      <c r="E356" t="s">
        <v>1020</v>
      </c>
      <c r="F356" t="s">
        <v>30</v>
      </c>
      <c r="G356" t="s">
        <v>3461</v>
      </c>
      <c r="H356" t="s">
        <v>3462</v>
      </c>
      <c r="I356" s="5">
        <v>83</v>
      </c>
      <c r="J356" s="4">
        <v>7.4</v>
      </c>
      <c r="K356" s="5">
        <v>74</v>
      </c>
      <c r="L356" s="5">
        <v>167445</v>
      </c>
      <c r="M356" s="5">
        <v>93</v>
      </c>
      <c r="N356" s="5">
        <v>87</v>
      </c>
      <c r="O356" s="5">
        <v>211</v>
      </c>
      <c r="P356" s="5">
        <v>73</v>
      </c>
      <c r="Q356" s="5">
        <v>137057</v>
      </c>
      <c r="R356" s="5">
        <v>80</v>
      </c>
      <c r="S356" s="5">
        <v>320530</v>
      </c>
      <c r="T356" s="5">
        <v>84</v>
      </c>
      <c r="U356" t="s">
        <v>75</v>
      </c>
      <c r="V356" s="2">
        <v>81.83</v>
      </c>
      <c r="W356" s="5">
        <f>Top_500_Movies_Ranked_by_Combined_Critics_and_Audience_Scores[[#This Row],[Critic_Rating_RT]]-Top_500_Movies_Ranked_by_Combined_Critics_and_Audience_Scores[[#This Row],[Audience_Rating]]</f>
        <v>14</v>
      </c>
      <c r="X356" s="5">
        <f>FLOOR(Top_500_Movies_Ranked_by_Combined_Critics_and_Audience_Scores[[#This Row],[Year]],10)</f>
        <v>2010</v>
      </c>
    </row>
    <row r="357" spans="1:24" x14ac:dyDescent="0.2">
      <c r="A357" s="3">
        <v>356</v>
      </c>
      <c r="B357" t="s">
        <v>3467</v>
      </c>
      <c r="C357" s="5">
        <v>2020</v>
      </c>
      <c r="D357" t="s">
        <v>448</v>
      </c>
      <c r="E357" t="s">
        <v>3468</v>
      </c>
      <c r="F357" t="s">
        <v>30</v>
      </c>
      <c r="G357" t="s">
        <v>4317</v>
      </c>
      <c r="H357" t="s">
        <v>4317</v>
      </c>
      <c r="I357" s="5">
        <v>81</v>
      </c>
      <c r="J357" s="4">
        <v>7.7</v>
      </c>
      <c r="K357" s="5">
        <v>77</v>
      </c>
      <c r="L357" s="5">
        <v>159056</v>
      </c>
      <c r="M357" s="5">
        <v>82</v>
      </c>
      <c r="N357" s="5">
        <v>82</v>
      </c>
      <c r="O357" s="5">
        <v>172</v>
      </c>
      <c r="P357" s="5">
        <v>87</v>
      </c>
      <c r="Q357" s="5">
        <v>222621</v>
      </c>
      <c r="R357" s="5">
        <v>84</v>
      </c>
      <c r="S357" s="5">
        <v>662768</v>
      </c>
      <c r="T357" s="5">
        <v>79</v>
      </c>
      <c r="U357" t="s">
        <v>2216</v>
      </c>
      <c r="V357" s="2">
        <v>81.83</v>
      </c>
      <c r="W357" s="5">
        <f>Top_500_Movies_Ranked_by_Combined_Critics_and_Audience_Scores[[#This Row],[Critic_Rating_RT]]-Top_500_Movies_Ranked_by_Combined_Critics_and_Audience_Scores[[#This Row],[Audience_Rating]]</f>
        <v>-5</v>
      </c>
      <c r="X357" s="5">
        <f>FLOOR(Top_500_Movies_Ranked_by_Combined_Critics_and_Audience_Scores[[#This Row],[Year]],10)</f>
        <v>2020</v>
      </c>
    </row>
    <row r="358" spans="1:24" x14ac:dyDescent="0.2">
      <c r="A358" s="3">
        <v>357</v>
      </c>
      <c r="B358" t="s">
        <v>3474</v>
      </c>
      <c r="C358" s="5">
        <v>2013</v>
      </c>
      <c r="D358" t="s">
        <v>519</v>
      </c>
      <c r="E358" t="s">
        <v>4336</v>
      </c>
      <c r="F358" t="s">
        <v>30</v>
      </c>
      <c r="G358" t="s">
        <v>3478</v>
      </c>
      <c r="H358" t="s">
        <v>614</v>
      </c>
      <c r="I358" s="5">
        <v>81</v>
      </c>
      <c r="J358" s="4">
        <v>7.9</v>
      </c>
      <c r="K358" s="5">
        <v>79</v>
      </c>
      <c r="L358" s="5">
        <v>533167</v>
      </c>
      <c r="M358" s="5">
        <v>77</v>
      </c>
      <c r="N358" s="5">
        <v>78</v>
      </c>
      <c r="O358" s="5">
        <v>186</v>
      </c>
      <c r="P358" s="5">
        <v>88</v>
      </c>
      <c r="Q358" s="5">
        <v>229781</v>
      </c>
      <c r="R358" s="5">
        <v>80</v>
      </c>
      <c r="S358" s="5">
        <v>502641</v>
      </c>
      <c r="T358" s="5">
        <v>89</v>
      </c>
      <c r="U358" t="s">
        <v>253</v>
      </c>
      <c r="V358" s="2">
        <v>81.83</v>
      </c>
      <c r="W358" s="5">
        <f>Top_500_Movies_Ranked_by_Combined_Critics_and_Audience_Scores[[#This Row],[Critic_Rating_RT]]-Top_500_Movies_Ranked_by_Combined_Critics_and_Audience_Scores[[#This Row],[Audience_Rating]]</f>
        <v>-10</v>
      </c>
      <c r="X358" s="5">
        <f>FLOOR(Top_500_Movies_Ranked_by_Combined_Critics_and_Audience_Scores[[#This Row],[Year]],10)</f>
        <v>2010</v>
      </c>
    </row>
    <row r="359" spans="1:24" x14ac:dyDescent="0.2">
      <c r="A359" s="3">
        <v>358</v>
      </c>
      <c r="B359" t="s">
        <v>3483</v>
      </c>
      <c r="C359" s="5">
        <v>2015</v>
      </c>
      <c r="D359" t="s">
        <v>3484</v>
      </c>
      <c r="E359" t="s">
        <v>549</v>
      </c>
      <c r="F359" t="s">
        <v>30</v>
      </c>
      <c r="G359" t="s">
        <v>4317</v>
      </c>
      <c r="H359" t="s">
        <v>312</v>
      </c>
      <c r="I359" s="5">
        <v>81</v>
      </c>
      <c r="J359" s="4">
        <v>8</v>
      </c>
      <c r="K359" s="5">
        <v>80</v>
      </c>
      <c r="L359" s="5">
        <v>963094</v>
      </c>
      <c r="M359" s="5">
        <v>80</v>
      </c>
      <c r="N359" s="5">
        <v>79</v>
      </c>
      <c r="O359" s="5">
        <v>270</v>
      </c>
      <c r="P359" s="5">
        <v>87</v>
      </c>
      <c r="Q359" s="5">
        <v>508376</v>
      </c>
      <c r="R359" s="5">
        <v>76</v>
      </c>
      <c r="S359" s="5">
        <v>1260464</v>
      </c>
      <c r="T359" s="5">
        <v>89</v>
      </c>
      <c r="U359" t="s">
        <v>2778</v>
      </c>
      <c r="V359" s="2">
        <v>81.83</v>
      </c>
      <c r="W359" s="5">
        <f>Top_500_Movies_Ranked_by_Combined_Critics_and_Audience_Scores[[#This Row],[Critic_Rating_RT]]-Top_500_Movies_Ranked_by_Combined_Critics_and_Audience_Scores[[#This Row],[Audience_Rating]]</f>
        <v>-8</v>
      </c>
      <c r="X359" s="5">
        <f>FLOOR(Top_500_Movies_Ranked_by_Combined_Critics_and_Audience_Scores[[#This Row],[Year]],10)</f>
        <v>2010</v>
      </c>
    </row>
    <row r="360" spans="1:24" x14ac:dyDescent="0.2">
      <c r="A360" s="3">
        <v>359</v>
      </c>
      <c r="B360" t="s">
        <v>3490</v>
      </c>
      <c r="C360" s="5">
        <v>1995</v>
      </c>
      <c r="D360" t="s">
        <v>593</v>
      </c>
      <c r="E360" t="s">
        <v>174</v>
      </c>
      <c r="F360" t="s">
        <v>30</v>
      </c>
      <c r="G360" t="s">
        <v>3493</v>
      </c>
      <c r="H360" t="s">
        <v>85</v>
      </c>
      <c r="I360" s="5">
        <v>80</v>
      </c>
      <c r="J360" s="4">
        <v>8.1999999999999993</v>
      </c>
      <c r="K360" s="5">
        <v>82</v>
      </c>
      <c r="L360" s="5">
        <v>588163</v>
      </c>
      <c r="M360" s="5">
        <v>73</v>
      </c>
      <c r="N360" s="5">
        <v>72</v>
      </c>
      <c r="O360" s="5">
        <v>51</v>
      </c>
      <c r="P360" s="5">
        <v>89</v>
      </c>
      <c r="Q360" s="5">
        <v>358364</v>
      </c>
      <c r="R360" s="5">
        <v>84</v>
      </c>
      <c r="S360" s="5">
        <v>503194</v>
      </c>
      <c r="T360" s="5">
        <v>91</v>
      </c>
      <c r="U360" t="s">
        <v>2637</v>
      </c>
      <c r="V360" s="2">
        <v>81.83</v>
      </c>
      <c r="W360" s="5">
        <f>Top_500_Movies_Ranked_by_Combined_Critics_and_Audience_Scores[[#This Row],[Critic_Rating_RT]]-Top_500_Movies_Ranked_by_Combined_Critics_and_Audience_Scores[[#This Row],[Audience_Rating]]</f>
        <v>-17</v>
      </c>
      <c r="X360" s="5">
        <f>FLOOR(Top_500_Movies_Ranked_by_Combined_Critics_and_Audience_Scores[[#This Row],[Year]],10)</f>
        <v>1990</v>
      </c>
    </row>
    <row r="361" spans="1:24" x14ac:dyDescent="0.2">
      <c r="A361" s="3">
        <v>360</v>
      </c>
      <c r="B361" t="s">
        <v>3498</v>
      </c>
      <c r="C361" s="5">
        <v>1960</v>
      </c>
      <c r="D361" t="s">
        <v>3499</v>
      </c>
      <c r="E361" t="s">
        <v>3500</v>
      </c>
      <c r="F361" t="s">
        <v>30</v>
      </c>
      <c r="G361" t="s">
        <v>4317</v>
      </c>
      <c r="H361" t="s">
        <v>3503</v>
      </c>
      <c r="I361" s="5">
        <v>81</v>
      </c>
      <c r="J361" s="4">
        <v>7.6</v>
      </c>
      <c r="K361" s="5">
        <v>76</v>
      </c>
      <c r="L361" s="5">
        <v>41700</v>
      </c>
      <c r="N361" s="5">
        <v>88</v>
      </c>
      <c r="O361" s="5">
        <v>51</v>
      </c>
      <c r="P361" s="5">
        <v>82</v>
      </c>
      <c r="Q361" s="5">
        <v>36186</v>
      </c>
      <c r="R361" s="5">
        <v>80</v>
      </c>
      <c r="S361" s="5">
        <v>80602</v>
      </c>
      <c r="T361" s="5">
        <v>83</v>
      </c>
      <c r="U361" t="s">
        <v>75</v>
      </c>
      <c r="V361" s="2">
        <v>81.8</v>
      </c>
      <c r="W361" s="5">
        <f>Top_500_Movies_Ranked_by_Combined_Critics_and_Audience_Scores[[#This Row],[Critic_Rating_RT]]-Top_500_Movies_Ranked_by_Combined_Critics_and_Audience_Scores[[#This Row],[Audience_Rating]]</f>
        <v>6</v>
      </c>
      <c r="X361" s="5">
        <f>FLOOR(Top_500_Movies_Ranked_by_Combined_Critics_and_Audience_Scores[[#This Row],[Year]],10)</f>
        <v>1960</v>
      </c>
    </row>
    <row r="362" spans="1:24" x14ac:dyDescent="0.2">
      <c r="A362" s="3">
        <v>361</v>
      </c>
      <c r="B362" t="s">
        <v>3509</v>
      </c>
      <c r="C362" s="5">
        <v>2010</v>
      </c>
      <c r="D362" t="s">
        <v>2545</v>
      </c>
      <c r="E362" t="s">
        <v>3033</v>
      </c>
      <c r="F362" t="s">
        <v>30</v>
      </c>
      <c r="G362" t="s">
        <v>3512</v>
      </c>
      <c r="H362" t="s">
        <v>1462</v>
      </c>
      <c r="I362" s="5">
        <v>82</v>
      </c>
      <c r="J362" s="4">
        <v>8</v>
      </c>
      <c r="K362" s="5">
        <v>80</v>
      </c>
      <c r="L362" s="5">
        <v>854775</v>
      </c>
      <c r="M362" s="5">
        <v>79</v>
      </c>
      <c r="N362" s="5">
        <v>81</v>
      </c>
      <c r="O362" s="5">
        <v>266</v>
      </c>
      <c r="P362" s="5">
        <v>82</v>
      </c>
      <c r="Q362" s="5">
        <v>812102</v>
      </c>
      <c r="R362" s="5">
        <v>84</v>
      </c>
      <c r="S362" s="5">
        <v>2078477</v>
      </c>
      <c r="T362" s="5">
        <v>84</v>
      </c>
      <c r="U362" t="s">
        <v>75</v>
      </c>
      <c r="V362" s="2">
        <v>81.67</v>
      </c>
      <c r="W362" s="5">
        <f>Top_500_Movies_Ranked_by_Combined_Critics_and_Audience_Scores[[#This Row],[Critic_Rating_RT]]-Top_500_Movies_Ranked_by_Combined_Critics_and_Audience_Scores[[#This Row],[Audience_Rating]]</f>
        <v>-1</v>
      </c>
      <c r="X362" s="5">
        <f>FLOOR(Top_500_Movies_Ranked_by_Combined_Critics_and_Audience_Scores[[#This Row],[Year]],10)</f>
        <v>2010</v>
      </c>
    </row>
    <row r="363" spans="1:24" x14ac:dyDescent="0.2">
      <c r="A363" s="3">
        <v>362</v>
      </c>
      <c r="B363" t="s">
        <v>3518</v>
      </c>
      <c r="C363" s="5">
        <v>1973</v>
      </c>
      <c r="D363" t="s">
        <v>27</v>
      </c>
      <c r="E363" t="s">
        <v>174</v>
      </c>
      <c r="F363" t="s">
        <v>30</v>
      </c>
      <c r="G363" t="s">
        <v>3521</v>
      </c>
      <c r="H363" t="s">
        <v>178</v>
      </c>
      <c r="I363" s="5">
        <v>82</v>
      </c>
      <c r="J363" s="4">
        <v>7.2</v>
      </c>
      <c r="K363" s="5">
        <v>72</v>
      </c>
      <c r="L363" s="5">
        <v>123587</v>
      </c>
      <c r="M363" s="5">
        <v>96</v>
      </c>
      <c r="N363" s="5">
        <v>89</v>
      </c>
      <c r="O363" s="5">
        <v>50</v>
      </c>
      <c r="P363" s="5">
        <v>80</v>
      </c>
      <c r="Q363" s="5">
        <v>95545</v>
      </c>
      <c r="R363" s="5">
        <v>74</v>
      </c>
      <c r="S363" s="5">
        <v>176591</v>
      </c>
      <c r="T363" s="5">
        <v>79</v>
      </c>
      <c r="U363" t="s">
        <v>75</v>
      </c>
      <c r="V363" s="2">
        <v>81.67</v>
      </c>
      <c r="W363" s="5">
        <f>Top_500_Movies_Ranked_by_Combined_Critics_and_Audience_Scores[[#This Row],[Critic_Rating_RT]]-Top_500_Movies_Ranked_by_Combined_Critics_and_Audience_Scores[[#This Row],[Audience_Rating]]</f>
        <v>9</v>
      </c>
      <c r="X363" s="5">
        <f>FLOOR(Top_500_Movies_Ranked_by_Combined_Critics_and_Audience_Scores[[#This Row],[Year]],10)</f>
        <v>1970</v>
      </c>
    </row>
    <row r="364" spans="1:24" x14ac:dyDescent="0.2">
      <c r="A364" s="3">
        <v>363</v>
      </c>
      <c r="B364" t="s">
        <v>3526</v>
      </c>
      <c r="C364" s="5">
        <v>2018</v>
      </c>
      <c r="D364" t="s">
        <v>3527</v>
      </c>
      <c r="E364" t="s">
        <v>1458</v>
      </c>
      <c r="F364" t="s">
        <v>30</v>
      </c>
      <c r="G364" t="s">
        <v>4317</v>
      </c>
      <c r="H364" t="s">
        <v>4317</v>
      </c>
      <c r="I364" s="5">
        <v>81</v>
      </c>
      <c r="J364" s="4">
        <v>7.8</v>
      </c>
      <c r="K364" s="5">
        <v>78</v>
      </c>
      <c r="L364" s="5">
        <v>198804</v>
      </c>
      <c r="M364" s="5">
        <v>82</v>
      </c>
      <c r="N364" s="5">
        <v>81</v>
      </c>
      <c r="O364" s="5">
        <v>224</v>
      </c>
      <c r="P364" s="5">
        <v>85</v>
      </c>
      <c r="Q364" s="5">
        <v>275699</v>
      </c>
      <c r="R364" s="5">
        <v>80</v>
      </c>
      <c r="S364" s="5">
        <v>807747</v>
      </c>
      <c r="T364" s="5">
        <v>84</v>
      </c>
      <c r="U364" t="s">
        <v>444</v>
      </c>
      <c r="V364" s="2">
        <v>81.67</v>
      </c>
      <c r="W364" s="5">
        <f>Top_500_Movies_Ranked_by_Combined_Critics_and_Audience_Scores[[#This Row],[Critic_Rating_RT]]-Top_500_Movies_Ranked_by_Combined_Critics_and_Audience_Scores[[#This Row],[Audience_Rating]]</f>
        <v>-4</v>
      </c>
      <c r="X364" s="5">
        <f>FLOOR(Top_500_Movies_Ranked_by_Combined_Critics_and_Audience_Scores[[#This Row],[Year]],10)</f>
        <v>2010</v>
      </c>
    </row>
    <row r="365" spans="1:24" x14ac:dyDescent="0.2">
      <c r="A365" s="3">
        <v>364</v>
      </c>
      <c r="B365" t="s">
        <v>3534</v>
      </c>
      <c r="C365" s="5">
        <v>1940</v>
      </c>
      <c r="D365" t="s">
        <v>140</v>
      </c>
      <c r="E365" t="s">
        <v>3535</v>
      </c>
      <c r="F365" t="s">
        <v>30</v>
      </c>
      <c r="G365" t="s">
        <v>3538</v>
      </c>
      <c r="H365" t="s">
        <v>3539</v>
      </c>
      <c r="I365" s="5">
        <v>83</v>
      </c>
      <c r="J365" s="4">
        <v>7.5</v>
      </c>
      <c r="K365" s="5">
        <v>75</v>
      </c>
      <c r="L365" s="5">
        <v>165547</v>
      </c>
      <c r="M365" s="5">
        <v>99</v>
      </c>
      <c r="N365" s="5">
        <v>93</v>
      </c>
      <c r="O365" s="5">
        <v>56</v>
      </c>
      <c r="P365" s="5">
        <v>72</v>
      </c>
      <c r="Q365" s="5">
        <v>285349</v>
      </c>
      <c r="R365" s="5">
        <v>70</v>
      </c>
      <c r="S365" s="5">
        <v>296159</v>
      </c>
      <c r="T365" s="5">
        <v>81</v>
      </c>
      <c r="U365" t="s">
        <v>444</v>
      </c>
      <c r="V365" s="2">
        <v>81.67</v>
      </c>
      <c r="W365" s="5">
        <f>Top_500_Movies_Ranked_by_Combined_Critics_and_Audience_Scores[[#This Row],[Critic_Rating_RT]]-Top_500_Movies_Ranked_by_Combined_Critics_and_Audience_Scores[[#This Row],[Audience_Rating]]</f>
        <v>21</v>
      </c>
      <c r="X365" s="5">
        <f>FLOOR(Top_500_Movies_Ranked_by_Combined_Critics_and_Audience_Scores[[#This Row],[Year]],10)</f>
        <v>1940</v>
      </c>
    </row>
    <row r="366" spans="1:24" x14ac:dyDescent="0.2">
      <c r="A366" s="3">
        <v>365</v>
      </c>
      <c r="B366" t="s">
        <v>3544</v>
      </c>
      <c r="C366" s="5">
        <v>1982</v>
      </c>
      <c r="D366" t="s">
        <v>3545</v>
      </c>
      <c r="E366" t="s">
        <v>81</v>
      </c>
      <c r="F366" t="s">
        <v>30</v>
      </c>
      <c r="G366" t="s">
        <v>3548</v>
      </c>
      <c r="H366" t="s">
        <v>85</v>
      </c>
      <c r="I366" s="5">
        <v>84</v>
      </c>
      <c r="J366" s="4">
        <v>7.9</v>
      </c>
      <c r="K366" s="5">
        <v>79</v>
      </c>
      <c r="L366" s="5">
        <v>451751</v>
      </c>
      <c r="M366" s="5">
        <v>92</v>
      </c>
      <c r="N366" s="5">
        <v>92</v>
      </c>
      <c r="O366" s="5">
        <v>103</v>
      </c>
      <c r="P366" s="5">
        <v>72</v>
      </c>
      <c r="Q366" s="5">
        <v>21844819</v>
      </c>
      <c r="R366" s="5">
        <v>76</v>
      </c>
      <c r="S366" s="5">
        <v>905759</v>
      </c>
      <c r="T366" s="5">
        <v>79</v>
      </c>
      <c r="U366" t="s">
        <v>75</v>
      </c>
      <c r="V366" s="2">
        <v>81.67</v>
      </c>
      <c r="W366" s="5">
        <f>Top_500_Movies_Ranked_by_Combined_Critics_and_Audience_Scores[[#This Row],[Critic_Rating_RT]]-Top_500_Movies_Ranked_by_Combined_Critics_and_Audience_Scores[[#This Row],[Audience_Rating]]</f>
        <v>20</v>
      </c>
      <c r="X366" s="5">
        <f>FLOOR(Top_500_Movies_Ranked_by_Combined_Critics_and_Audience_Scores[[#This Row],[Year]],10)</f>
        <v>1980</v>
      </c>
    </row>
    <row r="367" spans="1:24" x14ac:dyDescent="0.2">
      <c r="A367" s="3">
        <v>366</v>
      </c>
      <c r="B367" t="s">
        <v>3553</v>
      </c>
      <c r="C367" s="5">
        <v>2010</v>
      </c>
      <c r="D367" t="s">
        <v>3554</v>
      </c>
      <c r="E367" t="s">
        <v>3555</v>
      </c>
      <c r="F367" t="s">
        <v>30</v>
      </c>
      <c r="G367" t="s">
        <v>3558</v>
      </c>
      <c r="H367" t="s">
        <v>3559</v>
      </c>
      <c r="I367" s="5">
        <v>81</v>
      </c>
      <c r="J367" s="4">
        <v>8.1</v>
      </c>
      <c r="K367" s="5">
        <v>81</v>
      </c>
      <c r="L367" s="5">
        <v>837460</v>
      </c>
      <c r="M367" s="5">
        <v>75</v>
      </c>
      <c r="N367" s="5">
        <v>78</v>
      </c>
      <c r="O367" s="5">
        <v>123</v>
      </c>
      <c r="P367" s="5">
        <v>87</v>
      </c>
      <c r="Q367" s="5">
        <v>582145</v>
      </c>
      <c r="R367" s="5">
        <v>82</v>
      </c>
      <c r="S367" s="5">
        <v>1118520</v>
      </c>
      <c r="T367" s="5">
        <v>87</v>
      </c>
      <c r="U367" t="s">
        <v>75</v>
      </c>
      <c r="V367" s="2">
        <v>81.67</v>
      </c>
      <c r="W367" s="5">
        <f>Top_500_Movies_Ranked_by_Combined_Critics_and_Audience_Scores[[#This Row],[Critic_Rating_RT]]-Top_500_Movies_Ranked_by_Combined_Critics_and_Audience_Scores[[#This Row],[Audience_Rating]]</f>
        <v>-9</v>
      </c>
      <c r="X367" s="5">
        <f>FLOOR(Top_500_Movies_Ranked_by_Combined_Critics_and_Audience_Scores[[#This Row],[Year]],10)</f>
        <v>2010</v>
      </c>
    </row>
    <row r="368" spans="1:24" x14ac:dyDescent="0.2">
      <c r="A368" s="3">
        <v>367</v>
      </c>
      <c r="B368" t="s">
        <v>3564</v>
      </c>
      <c r="C368" s="5">
        <v>2009</v>
      </c>
      <c r="D368" t="s">
        <v>2241</v>
      </c>
      <c r="E368" t="s">
        <v>114</v>
      </c>
      <c r="F368" t="s">
        <v>30</v>
      </c>
      <c r="G368" t="s">
        <v>3567</v>
      </c>
      <c r="H368" t="s">
        <v>1624</v>
      </c>
      <c r="I368" s="5">
        <v>81</v>
      </c>
      <c r="J368" s="4">
        <v>8.4</v>
      </c>
      <c r="K368" s="5">
        <v>84</v>
      </c>
      <c r="L368" s="5">
        <v>1668156</v>
      </c>
      <c r="M368" s="5">
        <v>69</v>
      </c>
      <c r="N368" s="5">
        <v>77</v>
      </c>
      <c r="O368" s="5">
        <v>217</v>
      </c>
      <c r="P368" s="5">
        <v>86</v>
      </c>
      <c r="Q368" s="5">
        <v>1301365</v>
      </c>
      <c r="R368" s="5">
        <v>86</v>
      </c>
      <c r="S368" s="5">
        <v>2348648</v>
      </c>
      <c r="T368" s="5">
        <v>88</v>
      </c>
      <c r="U368" t="s">
        <v>75</v>
      </c>
      <c r="V368" s="2">
        <v>81.67</v>
      </c>
      <c r="W368" s="5">
        <f>Top_500_Movies_Ranked_by_Combined_Critics_and_Audience_Scores[[#This Row],[Critic_Rating_RT]]-Top_500_Movies_Ranked_by_Combined_Critics_and_Audience_Scores[[#This Row],[Audience_Rating]]</f>
        <v>-9</v>
      </c>
      <c r="X368" s="5">
        <f>FLOOR(Top_500_Movies_Ranked_by_Combined_Critics_and_Audience_Scores[[#This Row],[Year]],10)</f>
        <v>2000</v>
      </c>
    </row>
    <row r="369" spans="1:24" x14ac:dyDescent="0.2">
      <c r="A369" s="3">
        <v>368</v>
      </c>
      <c r="B369" t="s">
        <v>3573</v>
      </c>
      <c r="C369" s="5">
        <v>1954</v>
      </c>
      <c r="D369" t="s">
        <v>3574</v>
      </c>
      <c r="E369" t="s">
        <v>4337</v>
      </c>
      <c r="F369" t="s">
        <v>50</v>
      </c>
      <c r="G369" t="s">
        <v>191</v>
      </c>
      <c r="H369" t="s">
        <v>227</v>
      </c>
      <c r="I369" s="5">
        <v>81</v>
      </c>
      <c r="J369" s="4">
        <v>7.6</v>
      </c>
      <c r="K369" s="5">
        <v>76</v>
      </c>
      <c r="L369" s="5">
        <v>42778</v>
      </c>
      <c r="M369" s="5">
        <v>79</v>
      </c>
      <c r="N369" s="5">
        <v>78</v>
      </c>
      <c r="O369" s="5">
        <v>64</v>
      </c>
      <c r="P369" s="5">
        <v>85</v>
      </c>
      <c r="Q369" s="5">
        <v>48898</v>
      </c>
      <c r="R369" s="5">
        <v>80</v>
      </c>
      <c r="S369" s="5">
        <v>126402</v>
      </c>
      <c r="T369" s="5">
        <v>92</v>
      </c>
      <c r="U369" t="s">
        <v>1148</v>
      </c>
      <c r="V369" s="2">
        <v>81.67</v>
      </c>
      <c r="W369" s="5">
        <f>Top_500_Movies_Ranked_by_Combined_Critics_and_Audience_Scores[[#This Row],[Critic_Rating_RT]]-Top_500_Movies_Ranked_by_Combined_Critics_and_Audience_Scores[[#This Row],[Audience_Rating]]</f>
        <v>-7</v>
      </c>
      <c r="X369" s="5">
        <f>FLOOR(Top_500_Movies_Ranked_by_Combined_Critics_and_Audience_Scores[[#This Row],[Year]],10)</f>
        <v>1950</v>
      </c>
    </row>
    <row r="370" spans="1:24" x14ac:dyDescent="0.2">
      <c r="A370" s="3">
        <v>369</v>
      </c>
      <c r="B370" t="s">
        <v>3582</v>
      </c>
      <c r="C370" s="5">
        <v>2007</v>
      </c>
      <c r="D370" t="s">
        <v>3583</v>
      </c>
      <c r="E370" t="s">
        <v>3308</v>
      </c>
      <c r="F370" t="s">
        <v>30</v>
      </c>
      <c r="G370" t="s">
        <v>3586</v>
      </c>
      <c r="H370" t="s">
        <v>3587</v>
      </c>
      <c r="I370" s="5">
        <v>81</v>
      </c>
      <c r="J370" s="4">
        <v>7.8</v>
      </c>
      <c r="K370" s="5">
        <v>78</v>
      </c>
      <c r="L370" s="5">
        <v>549902</v>
      </c>
      <c r="M370" s="5">
        <v>81</v>
      </c>
      <c r="N370" s="5">
        <v>78</v>
      </c>
      <c r="O370" s="5">
        <v>144</v>
      </c>
      <c r="P370" s="5">
        <v>85</v>
      </c>
      <c r="Q370" s="5">
        <v>623784</v>
      </c>
      <c r="R370" s="5">
        <v>82</v>
      </c>
      <c r="S370" s="5">
        <v>738270</v>
      </c>
      <c r="T370" s="5">
        <v>86</v>
      </c>
      <c r="U370" t="s">
        <v>253</v>
      </c>
      <c r="V370" s="2">
        <v>81.67</v>
      </c>
      <c r="W370" s="5">
        <f>Top_500_Movies_Ranked_by_Combined_Critics_and_Audience_Scores[[#This Row],[Critic_Rating_RT]]-Top_500_Movies_Ranked_by_Combined_Critics_and_Audience_Scores[[#This Row],[Audience_Rating]]</f>
        <v>-7</v>
      </c>
      <c r="X370" s="5">
        <f>FLOOR(Top_500_Movies_Ranked_by_Combined_Critics_and_Audience_Scores[[#This Row],[Year]],10)</f>
        <v>2000</v>
      </c>
    </row>
    <row r="371" spans="1:24" x14ac:dyDescent="0.2">
      <c r="A371" s="3">
        <v>370</v>
      </c>
      <c r="B371" t="s">
        <v>3592</v>
      </c>
      <c r="C371" s="5">
        <v>1974</v>
      </c>
      <c r="D371" t="s">
        <v>3324</v>
      </c>
      <c r="E371" t="s">
        <v>3593</v>
      </c>
      <c r="F371" t="s">
        <v>30</v>
      </c>
      <c r="G371" t="s">
        <v>2499</v>
      </c>
      <c r="H371" t="s">
        <v>3596</v>
      </c>
      <c r="I371" s="5">
        <v>82</v>
      </c>
      <c r="J371" s="4">
        <v>7.4</v>
      </c>
      <c r="K371" s="5">
        <v>74</v>
      </c>
      <c r="L371" s="5">
        <v>196563</v>
      </c>
      <c r="M371" s="5">
        <v>91</v>
      </c>
      <c r="N371" s="5">
        <v>84</v>
      </c>
      <c r="O371" s="5">
        <v>96</v>
      </c>
      <c r="P371" s="5">
        <v>79</v>
      </c>
      <c r="Q371" s="5">
        <v>349352</v>
      </c>
      <c r="R371" s="5">
        <v>76</v>
      </c>
      <c r="S371" s="5">
        <v>641273</v>
      </c>
      <c r="T371" s="5">
        <v>86</v>
      </c>
      <c r="U371" t="s">
        <v>3599</v>
      </c>
      <c r="V371" s="2">
        <v>81.67</v>
      </c>
      <c r="W371" s="5">
        <f>Top_500_Movies_Ranked_by_Combined_Critics_and_Audience_Scores[[#This Row],[Critic_Rating_RT]]-Top_500_Movies_Ranked_by_Combined_Critics_and_Audience_Scores[[#This Row],[Audience_Rating]]</f>
        <v>5</v>
      </c>
      <c r="X371" s="5">
        <f>FLOOR(Top_500_Movies_Ranked_by_Combined_Critics_and_Audience_Scores[[#This Row],[Year]],10)</f>
        <v>1970</v>
      </c>
    </row>
    <row r="372" spans="1:24" x14ac:dyDescent="0.2">
      <c r="A372" s="3">
        <v>371</v>
      </c>
      <c r="B372" t="s">
        <v>3602</v>
      </c>
      <c r="C372" s="5">
        <v>1978</v>
      </c>
      <c r="D372" t="s">
        <v>3324</v>
      </c>
      <c r="E372" t="s">
        <v>1732</v>
      </c>
      <c r="F372" t="s">
        <v>30</v>
      </c>
      <c r="G372" t="s">
        <v>3605</v>
      </c>
      <c r="H372" t="s">
        <v>3606</v>
      </c>
      <c r="I372" s="5">
        <v>82</v>
      </c>
      <c r="J372" s="4">
        <v>7.8</v>
      </c>
      <c r="K372" s="5">
        <v>78</v>
      </c>
      <c r="L372" s="5">
        <v>132343</v>
      </c>
      <c r="M372" s="5">
        <v>71</v>
      </c>
      <c r="N372" s="5">
        <v>83</v>
      </c>
      <c r="O372" s="5">
        <v>60</v>
      </c>
      <c r="P372" s="5">
        <v>86</v>
      </c>
      <c r="Q372" s="5">
        <v>188411</v>
      </c>
      <c r="R372" s="5">
        <v>80</v>
      </c>
      <c r="S372" s="5">
        <v>155030</v>
      </c>
      <c r="T372" s="5">
        <v>92</v>
      </c>
      <c r="U372" t="s">
        <v>4317</v>
      </c>
      <c r="V372" s="2">
        <v>81.67</v>
      </c>
      <c r="W372" s="5">
        <f>Top_500_Movies_Ranked_by_Combined_Critics_and_Audience_Scores[[#This Row],[Critic_Rating_RT]]-Top_500_Movies_Ranked_by_Combined_Critics_and_Audience_Scores[[#This Row],[Audience_Rating]]</f>
        <v>-3</v>
      </c>
      <c r="X372" s="5">
        <f>FLOOR(Top_500_Movies_Ranked_by_Combined_Critics_and_Audience_Scores[[#This Row],[Year]],10)</f>
        <v>1970</v>
      </c>
    </row>
    <row r="373" spans="1:24" x14ac:dyDescent="0.2">
      <c r="A373" s="3">
        <v>372</v>
      </c>
      <c r="B373" t="s">
        <v>3611</v>
      </c>
      <c r="C373" s="5">
        <v>2022</v>
      </c>
      <c r="D373" t="s">
        <v>3612</v>
      </c>
      <c r="E373" t="s">
        <v>3613</v>
      </c>
      <c r="F373" t="s">
        <v>30</v>
      </c>
      <c r="G373" t="s">
        <v>4317</v>
      </c>
      <c r="H373" t="s">
        <v>4317</v>
      </c>
      <c r="I373" s="5">
        <v>82</v>
      </c>
      <c r="J373" s="4">
        <v>7.6</v>
      </c>
      <c r="K373" s="5">
        <v>76</v>
      </c>
      <c r="L373" s="5">
        <v>120092</v>
      </c>
      <c r="M373" s="5">
        <v>79</v>
      </c>
      <c r="N373" s="5">
        <v>82</v>
      </c>
      <c r="O373" s="5">
        <v>169</v>
      </c>
      <c r="Q373" s="5">
        <v>192647</v>
      </c>
      <c r="R373" s="5">
        <v>80</v>
      </c>
      <c r="S373" s="5">
        <v>570228</v>
      </c>
      <c r="T373" s="5">
        <v>91</v>
      </c>
      <c r="U373" t="s">
        <v>885</v>
      </c>
      <c r="V373" s="2">
        <v>81.599999999999994</v>
      </c>
      <c r="W373" s="5">
        <f>Top_500_Movies_Ranked_by_Combined_Critics_and_Audience_Scores[[#This Row],[Critic_Rating_RT]]-Top_500_Movies_Ranked_by_Combined_Critics_and_Audience_Scores[[#This Row],[Audience_Rating]]</f>
        <v>82</v>
      </c>
      <c r="X373" s="5">
        <f>FLOOR(Top_500_Movies_Ranked_by_Combined_Critics_and_Audience_Scores[[#This Row],[Year]],10)</f>
        <v>2020</v>
      </c>
    </row>
    <row r="374" spans="1:24" x14ac:dyDescent="0.2">
      <c r="A374" s="3">
        <v>373</v>
      </c>
      <c r="B374" t="s">
        <v>3621</v>
      </c>
      <c r="C374" s="5">
        <v>1960</v>
      </c>
      <c r="D374" t="s">
        <v>27</v>
      </c>
      <c r="E374" t="s">
        <v>3622</v>
      </c>
      <c r="F374" t="s">
        <v>321</v>
      </c>
      <c r="G374" t="s">
        <v>786</v>
      </c>
      <c r="H374" t="s">
        <v>227</v>
      </c>
      <c r="I374" s="5">
        <v>80</v>
      </c>
      <c r="J374" s="4">
        <v>7.7</v>
      </c>
      <c r="K374" s="5">
        <v>77</v>
      </c>
      <c r="L374" s="5">
        <v>90735</v>
      </c>
      <c r="N374" s="5">
        <v>87</v>
      </c>
      <c r="O374" s="5">
        <v>65</v>
      </c>
      <c r="P374" s="5">
        <v>86</v>
      </c>
      <c r="Q374" s="5">
        <v>98209</v>
      </c>
      <c r="R374" s="5">
        <v>78</v>
      </c>
      <c r="S374" s="5">
        <v>216481</v>
      </c>
      <c r="T374" s="5">
        <v>80</v>
      </c>
      <c r="U374" t="s">
        <v>135</v>
      </c>
      <c r="V374" s="2">
        <v>81.599999999999994</v>
      </c>
      <c r="W374" s="5">
        <f>Top_500_Movies_Ranked_by_Combined_Critics_and_Audience_Scores[[#This Row],[Critic_Rating_RT]]-Top_500_Movies_Ranked_by_Combined_Critics_and_Audience_Scores[[#This Row],[Audience_Rating]]</f>
        <v>1</v>
      </c>
      <c r="X374" s="5">
        <f>FLOOR(Top_500_Movies_Ranked_by_Combined_Critics_and_Audience_Scores[[#This Row],[Year]],10)</f>
        <v>1960</v>
      </c>
    </row>
    <row r="375" spans="1:24" x14ac:dyDescent="0.2">
      <c r="A375" s="3">
        <v>374</v>
      </c>
      <c r="B375" t="s">
        <v>3629</v>
      </c>
      <c r="C375" s="5">
        <v>2024</v>
      </c>
      <c r="D375" t="s">
        <v>3630</v>
      </c>
      <c r="E375" t="s">
        <v>3631</v>
      </c>
      <c r="F375" t="s">
        <v>30</v>
      </c>
      <c r="G375" t="s">
        <v>4317</v>
      </c>
      <c r="H375" t="s">
        <v>4317</v>
      </c>
      <c r="I375" s="5">
        <v>82</v>
      </c>
      <c r="J375" s="4">
        <v>7.6</v>
      </c>
      <c r="K375" s="5">
        <v>76</v>
      </c>
      <c r="L375" s="5">
        <v>11940</v>
      </c>
      <c r="M375" s="5">
        <v>82</v>
      </c>
      <c r="N375" s="5">
        <v>83</v>
      </c>
      <c r="O375" s="5">
        <v>73</v>
      </c>
      <c r="Q375" s="5">
        <v>38829</v>
      </c>
      <c r="R375" s="5">
        <v>82</v>
      </c>
      <c r="S375" s="5">
        <v>116366</v>
      </c>
      <c r="T375" s="5">
        <v>85</v>
      </c>
      <c r="U375" t="s">
        <v>3636</v>
      </c>
      <c r="V375" s="2">
        <v>81.599999999999994</v>
      </c>
      <c r="W375" s="5">
        <f>Top_500_Movies_Ranked_by_Combined_Critics_and_Audience_Scores[[#This Row],[Critic_Rating_RT]]-Top_500_Movies_Ranked_by_Combined_Critics_and_Audience_Scores[[#This Row],[Audience_Rating]]</f>
        <v>83</v>
      </c>
      <c r="X375" s="5">
        <f>FLOOR(Top_500_Movies_Ranked_by_Combined_Critics_and_Audience_Scores[[#This Row],[Year]],10)</f>
        <v>2020</v>
      </c>
    </row>
    <row r="376" spans="1:24" x14ac:dyDescent="0.2">
      <c r="A376" s="3">
        <v>375</v>
      </c>
      <c r="B376" t="s">
        <v>3639</v>
      </c>
      <c r="C376" s="5">
        <v>1980</v>
      </c>
      <c r="D376" t="s">
        <v>65</v>
      </c>
      <c r="E376" t="s">
        <v>3154</v>
      </c>
      <c r="F376" t="s">
        <v>30</v>
      </c>
      <c r="G376" t="s">
        <v>3642</v>
      </c>
      <c r="H376" t="s">
        <v>33</v>
      </c>
      <c r="I376" s="5">
        <v>81</v>
      </c>
      <c r="J376" s="4">
        <v>7.7</v>
      </c>
      <c r="K376" s="5">
        <v>77</v>
      </c>
      <c r="L376" s="5">
        <v>58996</v>
      </c>
      <c r="M376" s="5">
        <v>86</v>
      </c>
      <c r="N376" s="5">
        <v>85</v>
      </c>
      <c r="O376" s="5">
        <v>58</v>
      </c>
      <c r="P376" s="5">
        <v>84</v>
      </c>
      <c r="Q376" s="5">
        <v>31908</v>
      </c>
      <c r="R376" s="5">
        <v>80</v>
      </c>
      <c r="S376" s="5">
        <v>49068</v>
      </c>
      <c r="T376" s="5">
        <v>77</v>
      </c>
      <c r="U376" t="s">
        <v>75</v>
      </c>
      <c r="V376" s="2">
        <v>81.5</v>
      </c>
      <c r="W376" s="5">
        <f>Top_500_Movies_Ranked_by_Combined_Critics_and_Audience_Scores[[#This Row],[Critic_Rating_RT]]-Top_500_Movies_Ranked_by_Combined_Critics_and_Audience_Scores[[#This Row],[Audience_Rating]]</f>
        <v>1</v>
      </c>
      <c r="X376" s="5">
        <f>FLOOR(Top_500_Movies_Ranked_by_Combined_Critics_and_Audience_Scores[[#This Row],[Year]],10)</f>
        <v>1980</v>
      </c>
    </row>
    <row r="377" spans="1:24" x14ac:dyDescent="0.2">
      <c r="A377" s="3">
        <v>376</v>
      </c>
      <c r="B377" t="s">
        <v>3648</v>
      </c>
      <c r="C377" s="5">
        <v>2011</v>
      </c>
      <c r="D377" t="s">
        <v>65</v>
      </c>
      <c r="E377" t="s">
        <v>2984</v>
      </c>
      <c r="F377" t="s">
        <v>2986</v>
      </c>
      <c r="G377" t="s">
        <v>3147</v>
      </c>
      <c r="H377" t="s">
        <v>3651</v>
      </c>
      <c r="I377" s="5">
        <v>82</v>
      </c>
      <c r="J377" s="4">
        <v>7.6</v>
      </c>
      <c r="K377" s="5">
        <v>76</v>
      </c>
      <c r="L377" s="5">
        <v>30999</v>
      </c>
      <c r="M377" s="5">
        <v>84</v>
      </c>
      <c r="N377" s="5">
        <v>83</v>
      </c>
      <c r="O377" s="5">
        <v>61</v>
      </c>
      <c r="P377" s="5">
        <v>80</v>
      </c>
      <c r="Q377" s="5">
        <v>31339</v>
      </c>
      <c r="R377" s="5">
        <v>82</v>
      </c>
      <c r="S377" s="5">
        <v>83204</v>
      </c>
      <c r="T377" s="5">
        <v>84</v>
      </c>
      <c r="U377" t="s">
        <v>1819</v>
      </c>
      <c r="V377" s="2">
        <v>81.5</v>
      </c>
      <c r="W377" s="5">
        <f>Top_500_Movies_Ranked_by_Combined_Critics_and_Audience_Scores[[#This Row],[Critic_Rating_RT]]-Top_500_Movies_Ranked_by_Combined_Critics_and_Audience_Scores[[#This Row],[Audience_Rating]]</f>
        <v>3</v>
      </c>
      <c r="X377" s="5">
        <f>FLOOR(Top_500_Movies_Ranked_by_Combined_Critics_and_Audience_Scores[[#This Row],[Year]],10)</f>
        <v>2010</v>
      </c>
    </row>
    <row r="378" spans="1:24" x14ac:dyDescent="0.2">
      <c r="A378" s="3">
        <v>377</v>
      </c>
      <c r="B378" t="s">
        <v>3656</v>
      </c>
      <c r="C378" s="5">
        <v>2014</v>
      </c>
      <c r="D378" t="s">
        <v>3117</v>
      </c>
      <c r="E378" t="s">
        <v>3657</v>
      </c>
      <c r="F378" t="s">
        <v>30</v>
      </c>
      <c r="G378" t="s">
        <v>3660</v>
      </c>
      <c r="H378" t="s">
        <v>3462</v>
      </c>
      <c r="I378" s="5">
        <v>80</v>
      </c>
      <c r="J378" s="4">
        <v>7.8</v>
      </c>
      <c r="K378" s="5">
        <v>78</v>
      </c>
      <c r="L378" s="5">
        <v>63396</v>
      </c>
      <c r="M378" s="5">
        <v>79</v>
      </c>
      <c r="N378" s="5">
        <v>77</v>
      </c>
      <c r="O378" s="5">
        <v>99</v>
      </c>
      <c r="P378" s="5">
        <v>86</v>
      </c>
      <c r="Q378" s="5">
        <v>49080</v>
      </c>
      <c r="R378" s="5">
        <v>82</v>
      </c>
      <c r="S378" s="5">
        <v>114521</v>
      </c>
      <c r="T378" s="5">
        <v>87</v>
      </c>
      <c r="U378" t="s">
        <v>1186</v>
      </c>
      <c r="V378" s="2">
        <v>81.5</v>
      </c>
      <c r="W378" s="5">
        <f>Top_500_Movies_Ranked_by_Combined_Critics_and_Audience_Scores[[#This Row],[Critic_Rating_RT]]-Top_500_Movies_Ranked_by_Combined_Critics_and_Audience_Scores[[#This Row],[Audience_Rating]]</f>
        <v>-9</v>
      </c>
      <c r="X378" s="5">
        <f>FLOOR(Top_500_Movies_Ranked_by_Combined_Critics_and_Audience_Scores[[#This Row],[Year]],10)</f>
        <v>2010</v>
      </c>
    </row>
    <row r="379" spans="1:24" x14ac:dyDescent="0.2">
      <c r="A379" s="3">
        <v>378</v>
      </c>
      <c r="B379" t="s">
        <v>3665</v>
      </c>
      <c r="C379" s="5">
        <v>1979</v>
      </c>
      <c r="D379" t="s">
        <v>65</v>
      </c>
      <c r="E379" t="s">
        <v>3666</v>
      </c>
      <c r="F379" t="s">
        <v>30</v>
      </c>
      <c r="G379" t="s">
        <v>3669</v>
      </c>
      <c r="H379" t="s">
        <v>893</v>
      </c>
      <c r="I379" s="5">
        <v>81</v>
      </c>
      <c r="J379" s="4">
        <v>7.8</v>
      </c>
      <c r="K379" s="5">
        <v>78</v>
      </c>
      <c r="L379" s="5">
        <v>160104</v>
      </c>
      <c r="M379" s="5">
        <v>77</v>
      </c>
      <c r="N379" s="5">
        <v>81</v>
      </c>
      <c r="O379" s="5">
        <v>60</v>
      </c>
      <c r="P379" s="5">
        <v>85</v>
      </c>
      <c r="Q379" s="5">
        <v>76383</v>
      </c>
      <c r="R379" s="5">
        <v>82</v>
      </c>
      <c r="S379" s="5">
        <v>141869</v>
      </c>
      <c r="T379" s="5">
        <v>86</v>
      </c>
      <c r="U379" t="s">
        <v>75</v>
      </c>
      <c r="V379" s="2">
        <v>81.5</v>
      </c>
      <c r="W379" s="5">
        <f>Top_500_Movies_Ranked_by_Combined_Critics_and_Audience_Scores[[#This Row],[Critic_Rating_RT]]-Top_500_Movies_Ranked_by_Combined_Critics_and_Audience_Scores[[#This Row],[Audience_Rating]]</f>
        <v>-4</v>
      </c>
      <c r="X379" s="5">
        <f>FLOOR(Top_500_Movies_Ranked_by_Combined_Critics_and_Audience_Scores[[#This Row],[Year]],10)</f>
        <v>1970</v>
      </c>
    </row>
    <row r="380" spans="1:24" x14ac:dyDescent="0.2">
      <c r="A380" s="3">
        <v>379</v>
      </c>
      <c r="B380" t="s">
        <v>3674</v>
      </c>
      <c r="C380" s="5">
        <v>2016</v>
      </c>
      <c r="D380" t="s">
        <v>1072</v>
      </c>
      <c r="E380" t="s">
        <v>1345</v>
      </c>
      <c r="F380" t="s">
        <v>30</v>
      </c>
      <c r="G380" t="s">
        <v>4317</v>
      </c>
      <c r="H380" t="s">
        <v>4317</v>
      </c>
      <c r="I380" s="5">
        <v>82</v>
      </c>
      <c r="J380" s="4">
        <v>7.9</v>
      </c>
      <c r="K380" s="5">
        <v>79</v>
      </c>
      <c r="L380" s="5">
        <v>811528</v>
      </c>
      <c r="M380" s="5">
        <v>81</v>
      </c>
      <c r="N380" s="5">
        <v>83</v>
      </c>
      <c r="O380" s="5">
        <v>329</v>
      </c>
      <c r="P380" s="5">
        <v>80</v>
      </c>
      <c r="Q380" s="5">
        <v>659702</v>
      </c>
      <c r="R380" s="5">
        <v>82</v>
      </c>
      <c r="S380" s="5">
        <v>1808063</v>
      </c>
      <c r="T380" s="5">
        <v>84</v>
      </c>
      <c r="U380" t="s">
        <v>3679</v>
      </c>
      <c r="V380" s="2">
        <v>81.5</v>
      </c>
      <c r="W380" s="5">
        <f>Top_500_Movies_Ranked_by_Combined_Critics_and_Audience_Scores[[#This Row],[Critic_Rating_RT]]-Top_500_Movies_Ranked_by_Combined_Critics_and_Audience_Scores[[#This Row],[Audience_Rating]]</f>
        <v>3</v>
      </c>
      <c r="X380" s="5">
        <f>FLOOR(Top_500_Movies_Ranked_by_Combined_Critics_and_Audience_Scores[[#This Row],[Year]],10)</f>
        <v>2010</v>
      </c>
    </row>
    <row r="381" spans="1:24" x14ac:dyDescent="0.2">
      <c r="A381" s="3">
        <v>380</v>
      </c>
      <c r="B381" t="s">
        <v>3682</v>
      </c>
      <c r="C381" s="5">
        <v>2013</v>
      </c>
      <c r="D381" t="s">
        <v>1161</v>
      </c>
      <c r="E381" t="s">
        <v>3683</v>
      </c>
      <c r="F381" t="s">
        <v>30</v>
      </c>
      <c r="G381" t="s">
        <v>3686</v>
      </c>
      <c r="H381" t="s">
        <v>2341</v>
      </c>
      <c r="I381" s="5">
        <v>80</v>
      </c>
      <c r="J381" s="4">
        <v>8.1</v>
      </c>
      <c r="K381" s="5">
        <v>81</v>
      </c>
      <c r="L381" s="5">
        <v>74576</v>
      </c>
      <c r="M381" s="5">
        <v>83</v>
      </c>
      <c r="N381" s="5">
        <v>81</v>
      </c>
      <c r="O381" s="5">
        <v>87</v>
      </c>
      <c r="P381" s="5">
        <v>87</v>
      </c>
      <c r="Q381" s="5">
        <v>49227</v>
      </c>
      <c r="R381" s="5">
        <v>80</v>
      </c>
      <c r="S381" s="5">
        <v>90036</v>
      </c>
      <c r="T381" s="5">
        <v>77</v>
      </c>
      <c r="U381" t="s">
        <v>253</v>
      </c>
      <c r="V381" s="2">
        <v>81.5</v>
      </c>
      <c r="W381" s="5">
        <f>Top_500_Movies_Ranked_by_Combined_Critics_and_Audience_Scores[[#This Row],[Critic_Rating_RT]]-Top_500_Movies_Ranked_by_Combined_Critics_and_Audience_Scores[[#This Row],[Audience_Rating]]</f>
        <v>-6</v>
      </c>
      <c r="X381" s="5">
        <f>FLOOR(Top_500_Movies_Ranked_by_Combined_Critics_and_Audience_Scores[[#This Row],[Year]],10)</f>
        <v>2010</v>
      </c>
    </row>
    <row r="382" spans="1:24" x14ac:dyDescent="0.2">
      <c r="A382" s="3">
        <v>381</v>
      </c>
      <c r="B382" t="s">
        <v>3691</v>
      </c>
      <c r="C382" s="5">
        <v>2015</v>
      </c>
      <c r="D382" t="s">
        <v>3692</v>
      </c>
      <c r="E382" t="s">
        <v>3693</v>
      </c>
      <c r="F382" t="s">
        <v>30</v>
      </c>
      <c r="G382" t="s">
        <v>3696</v>
      </c>
      <c r="H382" t="s">
        <v>3697</v>
      </c>
      <c r="I382" s="5">
        <v>81</v>
      </c>
      <c r="J382" s="4">
        <v>7.8</v>
      </c>
      <c r="K382" s="5">
        <v>78</v>
      </c>
      <c r="L382" s="5">
        <v>56837</v>
      </c>
      <c r="M382" s="5">
        <v>85</v>
      </c>
      <c r="N382" s="5">
        <v>84</v>
      </c>
      <c r="O382" s="5">
        <v>139</v>
      </c>
      <c r="P382" s="5">
        <v>84</v>
      </c>
      <c r="Q382" s="5">
        <v>51318</v>
      </c>
      <c r="R382" s="5">
        <v>80</v>
      </c>
      <c r="S382" s="5">
        <v>109242</v>
      </c>
      <c r="T382" s="5">
        <v>78</v>
      </c>
      <c r="U382" t="s">
        <v>3700</v>
      </c>
      <c r="V382" s="2">
        <v>81.5</v>
      </c>
      <c r="W382" s="5">
        <f>Top_500_Movies_Ranked_by_Combined_Critics_and_Audience_Scores[[#This Row],[Critic_Rating_RT]]-Top_500_Movies_Ranked_by_Combined_Critics_and_Audience_Scores[[#This Row],[Audience_Rating]]</f>
        <v>0</v>
      </c>
      <c r="X382" s="5">
        <f>FLOOR(Top_500_Movies_Ranked_by_Combined_Critics_and_Audience_Scores[[#This Row],[Year]],10)</f>
        <v>2010</v>
      </c>
    </row>
    <row r="383" spans="1:24" x14ac:dyDescent="0.2">
      <c r="A383" s="3">
        <v>382</v>
      </c>
      <c r="B383" t="s">
        <v>3703</v>
      </c>
      <c r="C383" s="5">
        <v>1967</v>
      </c>
      <c r="D383" t="s">
        <v>211</v>
      </c>
      <c r="E383" t="s">
        <v>4338</v>
      </c>
      <c r="F383" t="s">
        <v>321</v>
      </c>
      <c r="G383" t="s">
        <v>3707</v>
      </c>
      <c r="H383" t="s">
        <v>3708</v>
      </c>
      <c r="I383" s="5">
        <v>81</v>
      </c>
      <c r="J383" s="4">
        <v>7.6</v>
      </c>
      <c r="K383" s="5">
        <v>76</v>
      </c>
      <c r="L383" s="5">
        <v>51150</v>
      </c>
      <c r="N383" s="5">
        <v>87</v>
      </c>
      <c r="O383" s="5">
        <v>57</v>
      </c>
      <c r="P383" s="5">
        <v>83</v>
      </c>
      <c r="Q383" s="5">
        <v>37251</v>
      </c>
      <c r="R383" s="5">
        <v>80</v>
      </c>
      <c r="S383" s="5">
        <v>103314</v>
      </c>
      <c r="U383" t="s">
        <v>135</v>
      </c>
      <c r="V383" s="2">
        <v>81.5</v>
      </c>
      <c r="W383" s="5">
        <f>Top_500_Movies_Ranked_by_Combined_Critics_and_Audience_Scores[[#This Row],[Critic_Rating_RT]]-Top_500_Movies_Ranked_by_Combined_Critics_and_Audience_Scores[[#This Row],[Audience_Rating]]</f>
        <v>4</v>
      </c>
      <c r="X383" s="5">
        <f>FLOOR(Top_500_Movies_Ranked_by_Combined_Critics_and_Audience_Scores[[#This Row],[Year]],10)</f>
        <v>1960</v>
      </c>
    </row>
    <row r="384" spans="1:24" x14ac:dyDescent="0.2">
      <c r="A384" s="3">
        <v>383</v>
      </c>
      <c r="B384" t="s">
        <v>2044</v>
      </c>
      <c r="C384" s="5">
        <v>2022</v>
      </c>
      <c r="D384" t="s">
        <v>3713</v>
      </c>
      <c r="E384" t="s">
        <v>3714</v>
      </c>
      <c r="F384" t="s">
        <v>374</v>
      </c>
      <c r="G384" t="s">
        <v>4317</v>
      </c>
      <c r="H384" t="s">
        <v>4317</v>
      </c>
      <c r="I384" s="5">
        <v>82</v>
      </c>
      <c r="J384" s="4">
        <v>7.8</v>
      </c>
      <c r="K384" s="5">
        <v>78</v>
      </c>
      <c r="L384" s="5">
        <v>272269</v>
      </c>
      <c r="M384" s="5">
        <v>76</v>
      </c>
      <c r="N384" s="5">
        <v>81</v>
      </c>
      <c r="O384" s="5">
        <v>114</v>
      </c>
      <c r="Q384" s="5">
        <v>266337</v>
      </c>
      <c r="R384" s="5">
        <v>80</v>
      </c>
      <c r="S384" s="5">
        <v>791518</v>
      </c>
      <c r="T384" s="5">
        <v>92</v>
      </c>
      <c r="U384" t="s">
        <v>885</v>
      </c>
      <c r="V384" s="2">
        <v>81.400000000000006</v>
      </c>
      <c r="W384" s="5">
        <f>Top_500_Movies_Ranked_by_Combined_Critics_and_Audience_Scores[[#This Row],[Critic_Rating_RT]]-Top_500_Movies_Ranked_by_Combined_Critics_and_Audience_Scores[[#This Row],[Audience_Rating]]</f>
        <v>81</v>
      </c>
      <c r="X384" s="5">
        <f>FLOOR(Top_500_Movies_Ranked_by_Combined_Critics_and_Audience_Scores[[#This Row],[Year]],10)</f>
        <v>2020</v>
      </c>
    </row>
    <row r="385" spans="1:24" x14ac:dyDescent="0.2">
      <c r="A385" s="3">
        <v>384</v>
      </c>
      <c r="B385" t="s">
        <v>3722</v>
      </c>
      <c r="C385" s="5">
        <v>1963</v>
      </c>
      <c r="D385" t="s">
        <v>1731</v>
      </c>
      <c r="E385" t="s">
        <v>103</v>
      </c>
      <c r="F385" t="s">
        <v>30</v>
      </c>
      <c r="G385" t="s">
        <v>3725</v>
      </c>
      <c r="H385" t="s">
        <v>85</v>
      </c>
      <c r="I385" s="5">
        <v>81</v>
      </c>
      <c r="J385" s="4">
        <v>7.6</v>
      </c>
      <c r="K385" s="5">
        <v>76</v>
      </c>
      <c r="L385" s="5">
        <v>212072</v>
      </c>
      <c r="M385" s="5">
        <v>90</v>
      </c>
      <c r="N385" s="5">
        <v>85</v>
      </c>
      <c r="O385" s="5">
        <v>67</v>
      </c>
      <c r="P385" s="5">
        <v>81</v>
      </c>
      <c r="Q385" s="5">
        <v>226724</v>
      </c>
      <c r="R385" s="5">
        <v>76</v>
      </c>
      <c r="S385" s="5">
        <v>326153</v>
      </c>
      <c r="T385" s="5">
        <v>80</v>
      </c>
      <c r="U385" t="s">
        <v>75</v>
      </c>
      <c r="V385" s="2">
        <v>81.33</v>
      </c>
      <c r="W385" s="5">
        <f>Top_500_Movies_Ranked_by_Combined_Critics_and_Audience_Scores[[#This Row],[Critic_Rating_RT]]-Top_500_Movies_Ranked_by_Combined_Critics_and_Audience_Scores[[#This Row],[Audience_Rating]]</f>
        <v>4</v>
      </c>
      <c r="X385" s="5">
        <f>FLOOR(Top_500_Movies_Ranked_by_Combined_Critics_and_Audience_Scores[[#This Row],[Year]],10)</f>
        <v>1960</v>
      </c>
    </row>
    <row r="386" spans="1:24" x14ac:dyDescent="0.2">
      <c r="A386" s="3">
        <v>385</v>
      </c>
      <c r="B386" t="s">
        <v>3731</v>
      </c>
      <c r="C386" s="5">
        <v>2013</v>
      </c>
      <c r="D386" t="s">
        <v>211</v>
      </c>
      <c r="E386" t="s">
        <v>3732</v>
      </c>
      <c r="F386" t="s">
        <v>3734</v>
      </c>
      <c r="G386" t="s">
        <v>3736</v>
      </c>
      <c r="H386" t="s">
        <v>335</v>
      </c>
      <c r="I386" s="5">
        <v>81</v>
      </c>
      <c r="J386" s="4">
        <v>7.8</v>
      </c>
      <c r="K386" s="5">
        <v>78</v>
      </c>
      <c r="L386" s="5">
        <v>63364</v>
      </c>
      <c r="M386" s="5">
        <v>76</v>
      </c>
      <c r="N386" s="5">
        <v>77</v>
      </c>
      <c r="O386" s="5">
        <v>85</v>
      </c>
      <c r="P386" s="5">
        <v>83</v>
      </c>
      <c r="Q386" s="5">
        <v>25991</v>
      </c>
      <c r="R386" s="5">
        <v>80</v>
      </c>
      <c r="S386" s="5">
        <v>46783</v>
      </c>
      <c r="T386" s="5">
        <v>94</v>
      </c>
      <c r="U386" t="s">
        <v>75</v>
      </c>
      <c r="V386" s="2">
        <v>81.33</v>
      </c>
      <c r="W386" s="5">
        <f>Top_500_Movies_Ranked_by_Combined_Critics_and_Audience_Scores[[#This Row],[Critic_Rating_RT]]-Top_500_Movies_Ranked_by_Combined_Critics_and_Audience_Scores[[#This Row],[Audience_Rating]]</f>
        <v>-6</v>
      </c>
      <c r="X386" s="5">
        <f>FLOOR(Top_500_Movies_Ranked_by_Combined_Critics_and_Audience_Scores[[#This Row],[Year]],10)</f>
        <v>2010</v>
      </c>
    </row>
    <row r="387" spans="1:24" x14ac:dyDescent="0.2">
      <c r="A387" s="3">
        <v>386</v>
      </c>
      <c r="B387" t="s">
        <v>3741</v>
      </c>
      <c r="C387" s="5">
        <v>1944</v>
      </c>
      <c r="D387" t="s">
        <v>3742</v>
      </c>
      <c r="E387" t="s">
        <v>3743</v>
      </c>
      <c r="F387" t="s">
        <v>30</v>
      </c>
      <c r="G387" t="s">
        <v>3746</v>
      </c>
      <c r="H387" t="s">
        <v>239</v>
      </c>
      <c r="I387" s="5">
        <v>81</v>
      </c>
      <c r="J387" s="4">
        <v>7.5</v>
      </c>
      <c r="K387" s="5">
        <v>75</v>
      </c>
      <c r="L387" s="5">
        <v>29429</v>
      </c>
      <c r="M387" s="5">
        <v>94</v>
      </c>
      <c r="N387" s="5">
        <v>89</v>
      </c>
      <c r="O387" s="5">
        <v>54</v>
      </c>
      <c r="P387" s="5">
        <v>82</v>
      </c>
      <c r="Q387" s="5">
        <v>44260</v>
      </c>
      <c r="R387" s="5">
        <v>76</v>
      </c>
      <c r="S387" s="5">
        <v>58472</v>
      </c>
      <c r="T387" s="5">
        <v>72</v>
      </c>
      <c r="U387" t="s">
        <v>75</v>
      </c>
      <c r="V387" s="2">
        <v>81.33</v>
      </c>
      <c r="W387" s="5">
        <f>Top_500_Movies_Ranked_by_Combined_Critics_and_Audience_Scores[[#This Row],[Critic_Rating_RT]]-Top_500_Movies_Ranked_by_Combined_Critics_and_Audience_Scores[[#This Row],[Audience_Rating]]</f>
        <v>7</v>
      </c>
      <c r="X387" s="5">
        <f>FLOOR(Top_500_Movies_Ranked_by_Combined_Critics_and_Audience_Scores[[#This Row],[Year]],10)</f>
        <v>1940</v>
      </c>
    </row>
    <row r="388" spans="1:24" x14ac:dyDescent="0.2">
      <c r="A388" s="3">
        <v>387</v>
      </c>
      <c r="B388" t="s">
        <v>3751</v>
      </c>
      <c r="C388" s="5">
        <v>1992</v>
      </c>
      <c r="D388" t="s">
        <v>519</v>
      </c>
      <c r="E388" t="s">
        <v>701</v>
      </c>
      <c r="F388" t="s">
        <v>30</v>
      </c>
      <c r="G388" t="s">
        <v>3754</v>
      </c>
      <c r="H388" t="s">
        <v>178</v>
      </c>
      <c r="I388" s="5">
        <v>80</v>
      </c>
      <c r="J388" s="4">
        <v>7.7</v>
      </c>
      <c r="K388" s="5">
        <v>77</v>
      </c>
      <c r="L388" s="5">
        <v>105909</v>
      </c>
      <c r="M388" s="5">
        <v>73</v>
      </c>
      <c r="N388" s="5">
        <v>77</v>
      </c>
      <c r="O388" s="5">
        <v>50</v>
      </c>
      <c r="P388" s="5">
        <v>87</v>
      </c>
      <c r="Q388" s="5">
        <v>82751</v>
      </c>
      <c r="R388" s="5">
        <v>84</v>
      </c>
      <c r="S388" s="5">
        <v>133925</v>
      </c>
      <c r="T388" s="5">
        <v>90</v>
      </c>
      <c r="U388" t="s">
        <v>135</v>
      </c>
      <c r="V388" s="2">
        <v>81.33</v>
      </c>
      <c r="W388" s="5">
        <f>Top_500_Movies_Ranked_by_Combined_Critics_and_Audience_Scores[[#This Row],[Critic_Rating_RT]]-Top_500_Movies_Ranked_by_Combined_Critics_and_Audience_Scores[[#This Row],[Audience_Rating]]</f>
        <v>-10</v>
      </c>
      <c r="X388" s="5">
        <f>FLOOR(Top_500_Movies_Ranked_by_Combined_Critics_and_Audience_Scores[[#This Row],[Year]],10)</f>
        <v>1990</v>
      </c>
    </row>
    <row r="389" spans="1:24" x14ac:dyDescent="0.2">
      <c r="A389" s="3">
        <v>388</v>
      </c>
      <c r="B389" t="s">
        <v>3759</v>
      </c>
      <c r="C389" s="5">
        <v>1944</v>
      </c>
      <c r="D389" t="s">
        <v>3760</v>
      </c>
      <c r="E389" t="s">
        <v>3761</v>
      </c>
      <c r="F389" t="s">
        <v>30</v>
      </c>
      <c r="G389" t="s">
        <v>3764</v>
      </c>
      <c r="H389" t="s">
        <v>312</v>
      </c>
      <c r="I389" s="5">
        <v>82</v>
      </c>
      <c r="J389" s="4">
        <v>7.9</v>
      </c>
      <c r="K389" s="5">
        <v>79</v>
      </c>
      <c r="L389" s="5">
        <v>53523</v>
      </c>
      <c r="N389" s="5">
        <v>89</v>
      </c>
      <c r="O389" s="5">
        <v>51</v>
      </c>
      <c r="P389" s="5">
        <v>86</v>
      </c>
      <c r="Q389" s="5">
        <v>28730</v>
      </c>
      <c r="R389" s="5">
        <v>80</v>
      </c>
      <c r="S389" s="5">
        <v>64424</v>
      </c>
      <c r="T389" s="5">
        <v>72</v>
      </c>
      <c r="U389" t="s">
        <v>1186</v>
      </c>
      <c r="V389" s="2">
        <v>81.2</v>
      </c>
      <c r="W389" s="5">
        <f>Top_500_Movies_Ranked_by_Combined_Critics_and_Audience_Scores[[#This Row],[Critic_Rating_RT]]-Top_500_Movies_Ranked_by_Combined_Critics_and_Audience_Scores[[#This Row],[Audience_Rating]]</f>
        <v>3</v>
      </c>
      <c r="X389" s="5">
        <f>FLOOR(Top_500_Movies_Ranked_by_Combined_Critics_and_Audience_Scores[[#This Row],[Year]],10)</f>
        <v>1940</v>
      </c>
    </row>
    <row r="390" spans="1:24" x14ac:dyDescent="0.2">
      <c r="A390" s="3">
        <v>389</v>
      </c>
      <c r="B390" t="s">
        <v>3770</v>
      </c>
      <c r="C390" s="5">
        <v>2023</v>
      </c>
      <c r="D390" t="s">
        <v>3771</v>
      </c>
      <c r="E390" t="s">
        <v>1458</v>
      </c>
      <c r="F390" t="s">
        <v>30</v>
      </c>
      <c r="G390" t="s">
        <v>4317</v>
      </c>
      <c r="H390" t="s">
        <v>4317</v>
      </c>
      <c r="I390" s="5">
        <v>81</v>
      </c>
      <c r="J390" s="4">
        <v>7.4</v>
      </c>
      <c r="K390" s="5">
        <v>74</v>
      </c>
      <c r="L390" s="5">
        <v>79116</v>
      </c>
      <c r="M390" s="5">
        <v>85</v>
      </c>
      <c r="N390" s="5">
        <v>84</v>
      </c>
      <c r="O390" s="5">
        <v>55</v>
      </c>
      <c r="Q390" s="5">
        <v>143750</v>
      </c>
      <c r="R390" s="5">
        <v>76</v>
      </c>
      <c r="S390" s="5">
        <v>429286</v>
      </c>
      <c r="T390" s="5">
        <v>87</v>
      </c>
      <c r="U390" t="s">
        <v>885</v>
      </c>
      <c r="V390" s="2">
        <v>81.2</v>
      </c>
      <c r="W390" s="5">
        <f>Top_500_Movies_Ranked_by_Combined_Critics_and_Audience_Scores[[#This Row],[Critic_Rating_RT]]-Top_500_Movies_Ranked_by_Combined_Critics_and_Audience_Scores[[#This Row],[Audience_Rating]]</f>
        <v>84</v>
      </c>
      <c r="X390" s="5">
        <f>FLOOR(Top_500_Movies_Ranked_by_Combined_Critics_and_Audience_Scores[[#This Row],[Year]],10)</f>
        <v>2020</v>
      </c>
    </row>
    <row r="391" spans="1:24" x14ac:dyDescent="0.2">
      <c r="A391" s="3">
        <v>390</v>
      </c>
      <c r="B391" t="s">
        <v>3778</v>
      </c>
      <c r="C391" s="5">
        <v>2011</v>
      </c>
      <c r="D391" t="s">
        <v>65</v>
      </c>
      <c r="E391" t="s">
        <v>3779</v>
      </c>
      <c r="F391" t="s">
        <v>30</v>
      </c>
      <c r="G391" t="s">
        <v>3782</v>
      </c>
      <c r="H391" t="s">
        <v>203</v>
      </c>
      <c r="I391" s="5">
        <v>81</v>
      </c>
      <c r="J391" s="4">
        <v>7.6</v>
      </c>
      <c r="K391" s="5">
        <v>76</v>
      </c>
      <c r="L391" s="5">
        <v>483651</v>
      </c>
      <c r="M391" s="5">
        <v>87</v>
      </c>
      <c r="N391" s="5">
        <v>82</v>
      </c>
      <c r="O391" s="5">
        <v>197</v>
      </c>
      <c r="P391" s="5">
        <v>82</v>
      </c>
      <c r="Q391" s="5">
        <v>248313</v>
      </c>
      <c r="R391" s="5">
        <v>78</v>
      </c>
      <c r="S391" s="5">
        <v>559774</v>
      </c>
      <c r="T391" s="5">
        <v>82</v>
      </c>
      <c r="U391" t="s">
        <v>253</v>
      </c>
      <c r="V391" s="2">
        <v>81.17</v>
      </c>
      <c r="W391" s="5">
        <f>Top_500_Movies_Ranked_by_Combined_Critics_and_Audience_Scores[[#This Row],[Critic_Rating_RT]]-Top_500_Movies_Ranked_by_Combined_Critics_and_Audience_Scores[[#This Row],[Audience_Rating]]</f>
        <v>0</v>
      </c>
      <c r="X391" s="5">
        <f>FLOOR(Top_500_Movies_Ranked_by_Combined_Critics_and_Audience_Scores[[#This Row],[Year]],10)</f>
        <v>2010</v>
      </c>
    </row>
    <row r="392" spans="1:24" x14ac:dyDescent="0.2">
      <c r="A392" s="3">
        <v>391</v>
      </c>
      <c r="B392" t="s">
        <v>3788</v>
      </c>
      <c r="C392" s="5">
        <v>1969</v>
      </c>
      <c r="D392" t="s">
        <v>65</v>
      </c>
      <c r="E392" t="s">
        <v>3789</v>
      </c>
      <c r="F392" t="s">
        <v>30</v>
      </c>
      <c r="G392" t="s">
        <v>3792</v>
      </c>
      <c r="H392" t="s">
        <v>167</v>
      </c>
      <c r="I392" s="5">
        <v>81</v>
      </c>
      <c r="J392" s="4">
        <v>7.8</v>
      </c>
      <c r="K392" s="5">
        <v>78</v>
      </c>
      <c r="L392" s="5">
        <v>125825</v>
      </c>
      <c r="M392" s="5">
        <v>79</v>
      </c>
      <c r="N392" s="5">
        <v>84</v>
      </c>
      <c r="O392" s="5">
        <v>73</v>
      </c>
      <c r="P392" s="5">
        <v>84</v>
      </c>
      <c r="Q392" s="5">
        <v>76945</v>
      </c>
      <c r="R392" s="5">
        <v>82</v>
      </c>
      <c r="S392" s="5">
        <v>150475</v>
      </c>
      <c r="T392" s="5">
        <v>80</v>
      </c>
      <c r="U392" t="s">
        <v>253</v>
      </c>
      <c r="V392" s="2">
        <v>81.17</v>
      </c>
      <c r="W392" s="5">
        <f>Top_500_Movies_Ranked_by_Combined_Critics_and_Audience_Scores[[#This Row],[Critic_Rating_RT]]-Top_500_Movies_Ranked_by_Combined_Critics_and_Audience_Scores[[#This Row],[Audience_Rating]]</f>
        <v>0</v>
      </c>
      <c r="X392" s="5">
        <f>FLOOR(Top_500_Movies_Ranked_by_Combined_Critics_and_Audience_Scores[[#This Row],[Year]],10)</f>
        <v>1960</v>
      </c>
    </row>
    <row r="393" spans="1:24" x14ac:dyDescent="0.2">
      <c r="A393" s="3">
        <v>392</v>
      </c>
      <c r="B393" t="s">
        <v>3797</v>
      </c>
      <c r="C393" s="5">
        <v>2014</v>
      </c>
      <c r="D393" t="s">
        <v>2072</v>
      </c>
      <c r="E393" t="s">
        <v>1768</v>
      </c>
      <c r="F393" t="s">
        <v>30</v>
      </c>
      <c r="G393" t="s">
        <v>3800</v>
      </c>
      <c r="H393" t="s">
        <v>312</v>
      </c>
      <c r="I393" s="5">
        <v>80</v>
      </c>
      <c r="J393" s="4">
        <v>8.1</v>
      </c>
      <c r="K393" s="5">
        <v>81</v>
      </c>
      <c r="L393" s="5">
        <v>1114383</v>
      </c>
      <c r="M393" s="5">
        <v>79</v>
      </c>
      <c r="N393" s="5">
        <v>81</v>
      </c>
      <c r="O393" s="5">
        <v>279</v>
      </c>
      <c r="P393" s="5">
        <v>85</v>
      </c>
      <c r="Q393" s="5">
        <v>847569</v>
      </c>
      <c r="R393" s="5">
        <v>82</v>
      </c>
      <c r="S393" s="5">
        <v>2283255</v>
      </c>
      <c r="T393" s="5">
        <v>79</v>
      </c>
      <c r="U393" t="s">
        <v>75</v>
      </c>
      <c r="V393" s="2">
        <v>81.17</v>
      </c>
      <c r="W393" s="5">
        <f>Top_500_Movies_Ranked_by_Combined_Critics_and_Audience_Scores[[#This Row],[Critic_Rating_RT]]-Top_500_Movies_Ranked_by_Combined_Critics_and_Audience_Scores[[#This Row],[Audience_Rating]]</f>
        <v>-4</v>
      </c>
      <c r="X393" s="5">
        <f>FLOOR(Top_500_Movies_Ranked_by_Combined_Critics_and_Audience_Scores[[#This Row],[Year]],10)</f>
        <v>2010</v>
      </c>
    </row>
    <row r="394" spans="1:24" x14ac:dyDescent="0.2">
      <c r="A394" s="3">
        <v>393</v>
      </c>
      <c r="B394" t="s">
        <v>3805</v>
      </c>
      <c r="C394" s="5">
        <v>2013</v>
      </c>
      <c r="D394" t="s">
        <v>3806</v>
      </c>
      <c r="E394" t="s">
        <v>3185</v>
      </c>
      <c r="F394" t="s">
        <v>30</v>
      </c>
      <c r="G394" t="s">
        <v>3809</v>
      </c>
      <c r="H394" t="s">
        <v>203</v>
      </c>
      <c r="I394" s="5">
        <v>80</v>
      </c>
      <c r="J394" s="4">
        <v>7.8</v>
      </c>
      <c r="K394" s="5">
        <v>78</v>
      </c>
      <c r="L394" s="5">
        <v>506195</v>
      </c>
      <c r="M394" s="5">
        <v>82</v>
      </c>
      <c r="N394" s="5">
        <v>83</v>
      </c>
      <c r="O394" s="5">
        <v>211</v>
      </c>
      <c r="P394" s="5">
        <v>85</v>
      </c>
      <c r="Q394" s="5">
        <v>205779</v>
      </c>
      <c r="R394" s="5">
        <v>76</v>
      </c>
      <c r="S394" s="5">
        <v>311200</v>
      </c>
      <c r="T394" s="5">
        <v>83</v>
      </c>
      <c r="U394" t="s">
        <v>75</v>
      </c>
      <c r="V394" s="2">
        <v>81.17</v>
      </c>
      <c r="W394" s="5">
        <f>Top_500_Movies_Ranked_by_Combined_Critics_and_Audience_Scores[[#This Row],[Critic_Rating_RT]]-Top_500_Movies_Ranked_by_Combined_Critics_and_Audience_Scores[[#This Row],[Audience_Rating]]</f>
        <v>-2</v>
      </c>
      <c r="X394" s="5">
        <f>FLOOR(Top_500_Movies_Ranked_by_Combined_Critics_and_Audience_Scores[[#This Row],[Year]],10)</f>
        <v>2010</v>
      </c>
    </row>
    <row r="395" spans="1:24" x14ac:dyDescent="0.2">
      <c r="A395" s="3">
        <v>394</v>
      </c>
      <c r="B395" t="s">
        <v>3814</v>
      </c>
      <c r="C395" s="5">
        <v>2015</v>
      </c>
      <c r="D395" t="s">
        <v>1674</v>
      </c>
      <c r="E395" t="s">
        <v>1345</v>
      </c>
      <c r="F395" t="s">
        <v>30</v>
      </c>
      <c r="G395" t="s">
        <v>2499</v>
      </c>
      <c r="H395" t="s">
        <v>3817</v>
      </c>
      <c r="I395" s="5">
        <v>81</v>
      </c>
      <c r="J395" s="4">
        <v>7.7</v>
      </c>
      <c r="K395" s="5">
        <v>77</v>
      </c>
      <c r="L395" s="5">
        <v>504995</v>
      </c>
      <c r="M395" s="5">
        <v>82</v>
      </c>
      <c r="N395" s="5">
        <v>81</v>
      </c>
      <c r="O395" s="5">
        <v>224</v>
      </c>
      <c r="P395" s="5">
        <v>82</v>
      </c>
      <c r="Q395" s="5">
        <v>274632</v>
      </c>
      <c r="R395" s="5">
        <v>80</v>
      </c>
      <c r="S395" s="5">
        <v>686077</v>
      </c>
      <c r="T395" s="5">
        <v>85</v>
      </c>
      <c r="U395" t="s">
        <v>253</v>
      </c>
      <c r="V395" s="2">
        <v>81.17</v>
      </c>
      <c r="W395" s="5">
        <f>Top_500_Movies_Ranked_by_Combined_Critics_and_Audience_Scores[[#This Row],[Critic_Rating_RT]]-Top_500_Movies_Ranked_by_Combined_Critics_and_Audience_Scores[[#This Row],[Audience_Rating]]</f>
        <v>-1</v>
      </c>
      <c r="X395" s="5">
        <f>FLOOR(Top_500_Movies_Ranked_by_Combined_Critics_and_Audience_Scores[[#This Row],[Year]],10)</f>
        <v>2010</v>
      </c>
    </row>
    <row r="396" spans="1:24" x14ac:dyDescent="0.2">
      <c r="A396" s="3">
        <v>395</v>
      </c>
      <c r="B396" t="s">
        <v>3822</v>
      </c>
      <c r="C396" s="5">
        <v>1989</v>
      </c>
      <c r="D396" t="s">
        <v>140</v>
      </c>
      <c r="E396" t="s">
        <v>2092</v>
      </c>
      <c r="F396" t="s">
        <v>30</v>
      </c>
      <c r="G396" t="s">
        <v>3825</v>
      </c>
      <c r="H396" t="s">
        <v>145</v>
      </c>
      <c r="I396" s="5">
        <v>80</v>
      </c>
      <c r="J396" s="4">
        <v>7.6</v>
      </c>
      <c r="K396" s="5">
        <v>76</v>
      </c>
      <c r="L396" s="5">
        <v>300298</v>
      </c>
      <c r="M396" s="5">
        <v>88</v>
      </c>
      <c r="N396" s="5">
        <v>84</v>
      </c>
      <c r="O396" s="5">
        <v>75</v>
      </c>
      <c r="P396" s="5">
        <v>84</v>
      </c>
      <c r="Q396" s="5">
        <v>786845</v>
      </c>
      <c r="R396" s="5">
        <v>74</v>
      </c>
      <c r="S396" s="5">
        <v>558144</v>
      </c>
      <c r="T396" s="5">
        <v>81</v>
      </c>
      <c r="U396" t="s">
        <v>2099</v>
      </c>
      <c r="V396" s="2">
        <v>81.17</v>
      </c>
      <c r="W396" s="5">
        <f>Top_500_Movies_Ranked_by_Combined_Critics_and_Audience_Scores[[#This Row],[Critic_Rating_RT]]-Top_500_Movies_Ranked_by_Combined_Critics_and_Audience_Scores[[#This Row],[Audience_Rating]]</f>
        <v>0</v>
      </c>
      <c r="X396" s="5">
        <f>FLOOR(Top_500_Movies_Ranked_by_Combined_Critics_and_Audience_Scores[[#This Row],[Year]],10)</f>
        <v>1980</v>
      </c>
    </row>
    <row r="397" spans="1:24" x14ac:dyDescent="0.2">
      <c r="A397" s="3">
        <v>396</v>
      </c>
      <c r="B397" t="s">
        <v>3830</v>
      </c>
      <c r="C397" s="5">
        <v>2012</v>
      </c>
      <c r="D397" t="s">
        <v>3831</v>
      </c>
      <c r="E397" t="s">
        <v>2475</v>
      </c>
      <c r="F397" t="s">
        <v>30</v>
      </c>
      <c r="G397" t="s">
        <v>3834</v>
      </c>
      <c r="H397" t="s">
        <v>239</v>
      </c>
      <c r="I397" s="5">
        <v>81</v>
      </c>
      <c r="J397" s="4">
        <v>7.8</v>
      </c>
      <c r="K397" s="5">
        <v>78</v>
      </c>
      <c r="L397" s="5">
        <v>748282</v>
      </c>
      <c r="M397" s="5">
        <v>81</v>
      </c>
      <c r="N397" s="5">
        <v>82</v>
      </c>
      <c r="O397" s="5">
        <v>258</v>
      </c>
      <c r="P397" s="5">
        <v>82</v>
      </c>
      <c r="Q397" s="5">
        <v>492679</v>
      </c>
      <c r="R397" s="5">
        <v>78</v>
      </c>
      <c r="S397" s="5">
        <v>726952</v>
      </c>
      <c r="T397" s="5">
        <v>86</v>
      </c>
      <c r="U397" t="s">
        <v>75</v>
      </c>
      <c r="V397" s="2">
        <v>81.17</v>
      </c>
      <c r="W397" s="5">
        <f>Top_500_Movies_Ranked_by_Combined_Critics_and_Audience_Scores[[#This Row],[Critic_Rating_RT]]-Top_500_Movies_Ranked_by_Combined_Critics_and_Audience_Scores[[#This Row],[Audience_Rating]]</f>
        <v>0</v>
      </c>
      <c r="X397" s="5">
        <f>FLOOR(Top_500_Movies_Ranked_by_Combined_Critics_and_Audience_Scores[[#This Row],[Year]],10)</f>
        <v>2010</v>
      </c>
    </row>
    <row r="398" spans="1:24" x14ac:dyDescent="0.2">
      <c r="A398" s="3">
        <v>397</v>
      </c>
      <c r="B398" t="s">
        <v>3839</v>
      </c>
      <c r="C398" s="5">
        <v>2009</v>
      </c>
      <c r="D398" t="s">
        <v>140</v>
      </c>
      <c r="E398" t="s">
        <v>2260</v>
      </c>
      <c r="F398" t="s">
        <v>30</v>
      </c>
      <c r="G398" t="s">
        <v>3842</v>
      </c>
      <c r="H398" t="s">
        <v>614</v>
      </c>
      <c r="I398" s="5">
        <v>82</v>
      </c>
      <c r="J398" s="4">
        <v>7.8</v>
      </c>
      <c r="K398" s="5">
        <v>78</v>
      </c>
      <c r="L398" s="5">
        <v>281862</v>
      </c>
      <c r="M398" s="5">
        <v>80</v>
      </c>
      <c r="N398" s="5">
        <v>79</v>
      </c>
      <c r="O398" s="5">
        <v>149</v>
      </c>
      <c r="P398" s="5">
        <v>74</v>
      </c>
      <c r="Q398" s="5">
        <v>850948</v>
      </c>
      <c r="R398" s="5">
        <v>84</v>
      </c>
      <c r="S398" s="5">
        <v>1781182</v>
      </c>
      <c r="T398" s="5">
        <v>92</v>
      </c>
      <c r="U398" t="s">
        <v>660</v>
      </c>
      <c r="V398" s="2">
        <v>81.17</v>
      </c>
      <c r="W398" s="5">
        <f>Top_500_Movies_Ranked_by_Combined_Critics_and_Audience_Scores[[#This Row],[Critic_Rating_RT]]-Top_500_Movies_Ranked_by_Combined_Critics_and_Audience_Scores[[#This Row],[Audience_Rating]]</f>
        <v>5</v>
      </c>
      <c r="X398" s="5">
        <f>FLOOR(Top_500_Movies_Ranked_by_Combined_Critics_and_Audience_Scores[[#This Row],[Year]],10)</f>
        <v>2000</v>
      </c>
    </row>
    <row r="399" spans="1:24" x14ac:dyDescent="0.2">
      <c r="A399" s="3">
        <v>398</v>
      </c>
      <c r="B399" t="s">
        <v>3847</v>
      </c>
      <c r="C399" s="5">
        <v>2017</v>
      </c>
      <c r="D399" t="s">
        <v>3117</v>
      </c>
      <c r="E399" t="s">
        <v>1778</v>
      </c>
      <c r="F399" t="s">
        <v>30</v>
      </c>
      <c r="G399" t="s">
        <v>4317</v>
      </c>
      <c r="H399" t="s">
        <v>4317</v>
      </c>
      <c r="I399" s="5">
        <v>82</v>
      </c>
      <c r="J399" s="4">
        <v>7.4</v>
      </c>
      <c r="K399" s="5">
        <v>74</v>
      </c>
      <c r="L399" s="5">
        <v>349719</v>
      </c>
      <c r="M399" s="5">
        <v>93</v>
      </c>
      <c r="N399" s="5">
        <v>89</v>
      </c>
      <c r="O399" s="5">
        <v>259</v>
      </c>
      <c r="P399" s="5">
        <v>77</v>
      </c>
      <c r="Q399" s="5">
        <v>802603</v>
      </c>
      <c r="R399" s="5">
        <v>76</v>
      </c>
      <c r="S399" s="5">
        <v>2359917</v>
      </c>
      <c r="T399" s="5">
        <v>78</v>
      </c>
      <c r="U399" t="s">
        <v>2637</v>
      </c>
      <c r="V399" s="2">
        <v>81.17</v>
      </c>
      <c r="W399" s="5">
        <f>Top_500_Movies_Ranked_by_Combined_Critics_and_Audience_Scores[[#This Row],[Critic_Rating_RT]]-Top_500_Movies_Ranked_by_Combined_Critics_and_Audience_Scores[[#This Row],[Audience_Rating]]</f>
        <v>12</v>
      </c>
      <c r="X399" s="5">
        <f>FLOOR(Top_500_Movies_Ranked_by_Combined_Critics_and_Audience_Scores[[#This Row],[Year]],10)</f>
        <v>2010</v>
      </c>
    </row>
    <row r="400" spans="1:24" x14ac:dyDescent="0.2">
      <c r="A400" s="3">
        <v>399</v>
      </c>
      <c r="B400" t="s">
        <v>3854</v>
      </c>
      <c r="C400" s="5">
        <v>1973</v>
      </c>
      <c r="D400" t="s">
        <v>3324</v>
      </c>
      <c r="E400" t="s">
        <v>3855</v>
      </c>
      <c r="F400" t="s">
        <v>30</v>
      </c>
      <c r="G400" t="s">
        <v>3858</v>
      </c>
      <c r="H400" t="s">
        <v>3859</v>
      </c>
      <c r="I400" s="5">
        <v>81</v>
      </c>
      <c r="J400" s="4">
        <v>7.5</v>
      </c>
      <c r="K400" s="5">
        <v>75</v>
      </c>
      <c r="L400" s="5">
        <v>98951</v>
      </c>
      <c r="M400" s="5">
        <v>87</v>
      </c>
      <c r="N400" s="5">
        <v>82</v>
      </c>
      <c r="O400" s="5">
        <v>66</v>
      </c>
      <c r="P400" s="5">
        <v>79</v>
      </c>
      <c r="Q400" s="5">
        <v>104949</v>
      </c>
      <c r="R400" s="5">
        <v>80</v>
      </c>
      <c r="S400" s="5">
        <v>227819</v>
      </c>
      <c r="T400" s="5">
        <v>84</v>
      </c>
      <c r="U400" t="s">
        <v>75</v>
      </c>
      <c r="V400" s="2">
        <v>81.17</v>
      </c>
      <c r="W400" s="5">
        <f>Top_500_Movies_Ranked_by_Combined_Critics_and_Audience_Scores[[#This Row],[Critic_Rating_RT]]-Top_500_Movies_Ranked_by_Combined_Critics_and_Audience_Scores[[#This Row],[Audience_Rating]]</f>
        <v>3</v>
      </c>
      <c r="X400" s="5">
        <f>FLOOR(Top_500_Movies_Ranked_by_Combined_Critics_and_Audience_Scores[[#This Row],[Year]],10)</f>
        <v>1970</v>
      </c>
    </row>
    <row r="401" spans="1:24" x14ac:dyDescent="0.2">
      <c r="A401" s="3">
        <v>400</v>
      </c>
      <c r="B401" t="s">
        <v>3864</v>
      </c>
      <c r="C401" s="5">
        <v>2014</v>
      </c>
      <c r="D401" t="s">
        <v>3865</v>
      </c>
      <c r="E401" t="s">
        <v>3866</v>
      </c>
      <c r="F401" t="s">
        <v>30</v>
      </c>
      <c r="G401" t="s">
        <v>2857</v>
      </c>
      <c r="H401" t="s">
        <v>3869</v>
      </c>
      <c r="I401" s="5">
        <v>81</v>
      </c>
      <c r="J401" s="4">
        <v>7.6</v>
      </c>
      <c r="K401" s="5">
        <v>76</v>
      </c>
      <c r="L401" s="5">
        <v>207384</v>
      </c>
      <c r="M401" s="5">
        <v>76</v>
      </c>
      <c r="N401" s="5">
        <v>78</v>
      </c>
      <c r="O401" s="5">
        <v>140</v>
      </c>
      <c r="P401" s="5">
        <v>83</v>
      </c>
      <c r="Q401" s="5">
        <v>191766</v>
      </c>
      <c r="R401" s="5">
        <v>82</v>
      </c>
      <c r="S401" s="5">
        <v>519424</v>
      </c>
      <c r="T401" s="5">
        <v>92</v>
      </c>
      <c r="U401" t="s">
        <v>75</v>
      </c>
      <c r="V401" s="2">
        <v>81.17</v>
      </c>
      <c r="W401" s="5">
        <f>Top_500_Movies_Ranked_by_Combined_Critics_and_Audience_Scores[[#This Row],[Critic_Rating_RT]]-Top_500_Movies_Ranked_by_Combined_Critics_and_Audience_Scores[[#This Row],[Audience_Rating]]</f>
        <v>-5</v>
      </c>
      <c r="X401" s="5">
        <f>FLOOR(Top_500_Movies_Ranked_by_Combined_Critics_and_Audience_Scores[[#This Row],[Year]],10)</f>
        <v>2010</v>
      </c>
    </row>
    <row r="402" spans="1:24" x14ac:dyDescent="0.2">
      <c r="A402" s="3">
        <v>401</v>
      </c>
      <c r="B402" t="s">
        <v>3874</v>
      </c>
      <c r="C402" s="5">
        <v>2018</v>
      </c>
      <c r="D402" t="s">
        <v>3875</v>
      </c>
      <c r="E402" t="s">
        <v>3876</v>
      </c>
      <c r="F402" t="s">
        <v>155</v>
      </c>
      <c r="G402" t="s">
        <v>4317</v>
      </c>
      <c r="H402" t="s">
        <v>4317</v>
      </c>
      <c r="I402" s="5">
        <v>81</v>
      </c>
      <c r="J402" s="4">
        <v>7.4</v>
      </c>
      <c r="K402" s="5">
        <v>74</v>
      </c>
      <c r="L402" s="5">
        <v>81046</v>
      </c>
      <c r="M402" s="5">
        <v>91</v>
      </c>
      <c r="N402" s="5">
        <v>87</v>
      </c>
      <c r="O402" s="5">
        <v>133</v>
      </c>
      <c r="P402" s="5">
        <v>78</v>
      </c>
      <c r="Q402" s="5">
        <v>90786</v>
      </c>
      <c r="R402" s="5">
        <v>80</v>
      </c>
      <c r="S402" s="5">
        <v>268302</v>
      </c>
      <c r="T402" s="5">
        <v>76</v>
      </c>
      <c r="U402" t="s">
        <v>3881</v>
      </c>
      <c r="V402" s="2">
        <v>81</v>
      </c>
      <c r="W402" s="5">
        <f>Top_500_Movies_Ranked_by_Combined_Critics_and_Audience_Scores[[#This Row],[Critic_Rating_RT]]-Top_500_Movies_Ranked_by_Combined_Critics_and_Audience_Scores[[#This Row],[Audience_Rating]]</f>
        <v>9</v>
      </c>
      <c r="X402" s="5">
        <f>FLOOR(Top_500_Movies_Ranked_by_Combined_Critics_and_Audience_Scores[[#This Row],[Year]],10)</f>
        <v>2010</v>
      </c>
    </row>
    <row r="403" spans="1:24" x14ac:dyDescent="0.2">
      <c r="A403" s="3">
        <v>402</v>
      </c>
      <c r="B403" t="s">
        <v>3884</v>
      </c>
      <c r="C403" s="5">
        <v>2002</v>
      </c>
      <c r="D403" t="s">
        <v>2035</v>
      </c>
      <c r="E403" t="s">
        <v>2063</v>
      </c>
      <c r="F403" t="s">
        <v>30</v>
      </c>
      <c r="G403" t="s">
        <v>3887</v>
      </c>
      <c r="H403" t="s">
        <v>53</v>
      </c>
      <c r="I403" s="5">
        <v>81</v>
      </c>
      <c r="J403" s="4">
        <v>7.7</v>
      </c>
      <c r="K403" s="5">
        <v>77</v>
      </c>
      <c r="L403" s="5">
        <v>208162</v>
      </c>
      <c r="M403" s="5">
        <v>83</v>
      </c>
      <c r="N403" s="5">
        <v>82</v>
      </c>
      <c r="O403" s="5">
        <v>107</v>
      </c>
      <c r="P403" s="5">
        <v>82</v>
      </c>
      <c r="Q403" s="5">
        <v>209812</v>
      </c>
      <c r="R403" s="5">
        <v>82</v>
      </c>
      <c r="S403" s="5">
        <v>251436</v>
      </c>
      <c r="T403" s="5">
        <v>80</v>
      </c>
      <c r="U403" t="s">
        <v>75</v>
      </c>
      <c r="V403" s="2">
        <v>81</v>
      </c>
      <c r="W403" s="5">
        <f>Top_500_Movies_Ranked_by_Combined_Critics_and_Audience_Scores[[#This Row],[Critic_Rating_RT]]-Top_500_Movies_Ranked_by_Combined_Critics_and_Audience_Scores[[#This Row],[Audience_Rating]]</f>
        <v>0</v>
      </c>
      <c r="X403" s="5">
        <f>FLOOR(Top_500_Movies_Ranked_by_Combined_Critics_and_Audience_Scores[[#This Row],[Year]],10)</f>
        <v>2000</v>
      </c>
    </row>
    <row r="404" spans="1:24" x14ac:dyDescent="0.2">
      <c r="A404" s="3">
        <v>403</v>
      </c>
      <c r="B404" t="s">
        <v>3892</v>
      </c>
      <c r="C404" s="5">
        <v>2013</v>
      </c>
      <c r="D404" t="s">
        <v>3893</v>
      </c>
      <c r="E404" t="s">
        <v>174</v>
      </c>
      <c r="F404" t="s">
        <v>30</v>
      </c>
      <c r="G404" t="s">
        <v>3896</v>
      </c>
      <c r="H404" t="s">
        <v>3897</v>
      </c>
      <c r="I404" s="5">
        <v>81</v>
      </c>
      <c r="J404" s="4">
        <v>8.1999999999999993</v>
      </c>
      <c r="K404" s="5">
        <v>82</v>
      </c>
      <c r="L404" s="5">
        <v>1670167</v>
      </c>
      <c r="M404" s="5">
        <v>75</v>
      </c>
      <c r="N404" s="5">
        <v>77</v>
      </c>
      <c r="O404" s="5">
        <v>201</v>
      </c>
      <c r="P404" s="5">
        <v>82</v>
      </c>
      <c r="Q404" s="5">
        <v>1020621</v>
      </c>
      <c r="R404" s="5">
        <v>80</v>
      </c>
      <c r="S404" s="5">
        <v>2696608</v>
      </c>
      <c r="T404" s="5">
        <v>90</v>
      </c>
      <c r="U404" t="s">
        <v>3900</v>
      </c>
      <c r="V404" s="2">
        <v>81</v>
      </c>
      <c r="W404" s="5">
        <f>Top_500_Movies_Ranked_by_Combined_Critics_and_Audience_Scores[[#This Row],[Critic_Rating_RT]]-Top_500_Movies_Ranked_by_Combined_Critics_and_Audience_Scores[[#This Row],[Audience_Rating]]</f>
        <v>-5</v>
      </c>
      <c r="X404" s="5">
        <f>FLOOR(Top_500_Movies_Ranked_by_Combined_Critics_and_Audience_Scores[[#This Row],[Year]],10)</f>
        <v>2010</v>
      </c>
    </row>
    <row r="405" spans="1:24" x14ac:dyDescent="0.2">
      <c r="A405" s="3">
        <v>404</v>
      </c>
      <c r="B405" t="s">
        <v>3903</v>
      </c>
      <c r="C405" s="5">
        <v>2013</v>
      </c>
      <c r="D405" t="s">
        <v>65</v>
      </c>
      <c r="E405" t="s">
        <v>3904</v>
      </c>
      <c r="F405" t="s">
        <v>189</v>
      </c>
      <c r="G405" t="s">
        <v>3907</v>
      </c>
      <c r="H405" t="s">
        <v>687</v>
      </c>
      <c r="I405" s="5">
        <v>81</v>
      </c>
      <c r="J405" s="4">
        <v>7.7</v>
      </c>
      <c r="K405" s="5">
        <v>77</v>
      </c>
      <c r="L405" s="5">
        <v>101827</v>
      </c>
      <c r="M405" s="5">
        <v>86</v>
      </c>
      <c r="N405" s="5">
        <v>82</v>
      </c>
      <c r="O405" s="5">
        <v>107</v>
      </c>
      <c r="P405" s="5">
        <v>78</v>
      </c>
      <c r="Q405" s="5">
        <v>50986</v>
      </c>
      <c r="R405" s="5">
        <v>82</v>
      </c>
      <c r="S405" s="5">
        <v>121640</v>
      </c>
      <c r="T405" s="5">
        <v>81</v>
      </c>
      <c r="U405" t="s">
        <v>135</v>
      </c>
      <c r="V405" s="2">
        <v>81</v>
      </c>
      <c r="W405" s="5">
        <f>Top_500_Movies_Ranked_by_Combined_Critics_and_Audience_Scores[[#This Row],[Critic_Rating_RT]]-Top_500_Movies_Ranked_by_Combined_Critics_and_Audience_Scores[[#This Row],[Audience_Rating]]</f>
        <v>4</v>
      </c>
      <c r="X405" s="5">
        <f>FLOOR(Top_500_Movies_Ranked_by_Combined_Critics_and_Audience_Scores[[#This Row],[Year]],10)</f>
        <v>2010</v>
      </c>
    </row>
    <row r="406" spans="1:24" x14ac:dyDescent="0.2">
      <c r="A406" s="3">
        <v>405</v>
      </c>
      <c r="B406" t="s">
        <v>3912</v>
      </c>
      <c r="C406" s="5">
        <v>2003</v>
      </c>
      <c r="D406" t="s">
        <v>992</v>
      </c>
      <c r="E406" t="s">
        <v>3913</v>
      </c>
      <c r="F406" t="s">
        <v>30</v>
      </c>
      <c r="G406" t="s">
        <v>3916</v>
      </c>
      <c r="H406" t="s">
        <v>3917</v>
      </c>
      <c r="I406" s="5">
        <v>80</v>
      </c>
      <c r="J406" s="4">
        <v>7.4</v>
      </c>
      <c r="K406" s="5">
        <v>74</v>
      </c>
      <c r="L406" s="5">
        <v>53472</v>
      </c>
      <c r="M406" s="5">
        <v>90</v>
      </c>
      <c r="N406" s="5">
        <v>85</v>
      </c>
      <c r="O406" s="5">
        <v>92</v>
      </c>
      <c r="P406" s="5">
        <v>82</v>
      </c>
      <c r="Q406" s="5">
        <v>40687</v>
      </c>
      <c r="R406" s="5">
        <v>76</v>
      </c>
      <c r="S406" s="5">
        <v>32821</v>
      </c>
      <c r="T406" s="5">
        <v>79</v>
      </c>
      <c r="U406" t="s">
        <v>135</v>
      </c>
      <c r="V406" s="2">
        <v>81</v>
      </c>
      <c r="W406" s="5">
        <f>Top_500_Movies_Ranked_by_Combined_Critics_and_Audience_Scores[[#This Row],[Critic_Rating_RT]]-Top_500_Movies_Ranked_by_Combined_Critics_and_Audience_Scores[[#This Row],[Audience_Rating]]</f>
        <v>3</v>
      </c>
      <c r="X406" s="5">
        <f>FLOOR(Top_500_Movies_Ranked_by_Combined_Critics_and_Audience_Scores[[#This Row],[Year]],10)</f>
        <v>2000</v>
      </c>
    </row>
    <row r="407" spans="1:24" x14ac:dyDescent="0.2">
      <c r="A407" s="3">
        <v>406</v>
      </c>
      <c r="B407" t="s">
        <v>3922</v>
      </c>
      <c r="C407" s="5">
        <v>2002</v>
      </c>
      <c r="D407" t="s">
        <v>27</v>
      </c>
      <c r="E407" t="s">
        <v>81</v>
      </c>
      <c r="F407" t="s">
        <v>30</v>
      </c>
      <c r="G407" t="s">
        <v>3925</v>
      </c>
      <c r="H407" t="s">
        <v>1885</v>
      </c>
      <c r="I407" s="5">
        <v>80</v>
      </c>
      <c r="J407" s="4">
        <v>8.1</v>
      </c>
      <c r="K407" s="5">
        <v>81</v>
      </c>
      <c r="L407" s="5">
        <v>1154771</v>
      </c>
      <c r="M407" s="5">
        <v>75</v>
      </c>
      <c r="N407" s="5">
        <v>78</v>
      </c>
      <c r="O407" s="5">
        <v>121</v>
      </c>
      <c r="P407" s="5">
        <v>86</v>
      </c>
      <c r="Q407" s="5">
        <v>1008107</v>
      </c>
      <c r="R407" s="5">
        <v>80</v>
      </c>
      <c r="S407" s="5">
        <v>1523405</v>
      </c>
      <c r="T407" s="5">
        <v>86</v>
      </c>
      <c r="U407" t="s">
        <v>3679</v>
      </c>
      <c r="V407" s="2">
        <v>81</v>
      </c>
      <c r="W407" s="5">
        <f>Top_500_Movies_Ranked_by_Combined_Critics_and_Audience_Scores[[#This Row],[Critic_Rating_RT]]-Top_500_Movies_Ranked_by_Combined_Critics_and_Audience_Scores[[#This Row],[Audience_Rating]]</f>
        <v>-8</v>
      </c>
      <c r="X407" s="5">
        <f>FLOOR(Top_500_Movies_Ranked_by_Combined_Critics_and_Audience_Scores[[#This Row],[Year]],10)</f>
        <v>2000</v>
      </c>
    </row>
    <row r="408" spans="1:24" x14ac:dyDescent="0.2">
      <c r="A408" s="3">
        <v>407</v>
      </c>
      <c r="B408" t="s">
        <v>3930</v>
      </c>
      <c r="C408" s="5">
        <v>2022</v>
      </c>
      <c r="D408" t="s">
        <v>1515</v>
      </c>
      <c r="E408" t="s">
        <v>3931</v>
      </c>
      <c r="F408" t="s">
        <v>3933</v>
      </c>
      <c r="G408" t="s">
        <v>4317</v>
      </c>
      <c r="H408" t="s">
        <v>4317</v>
      </c>
      <c r="I408" s="5">
        <v>81</v>
      </c>
      <c r="J408" s="4">
        <v>7.5</v>
      </c>
      <c r="K408" s="5">
        <v>75</v>
      </c>
      <c r="L408" s="5">
        <v>22764</v>
      </c>
      <c r="M408" s="5">
        <v>85</v>
      </c>
      <c r="N408" s="5">
        <v>85</v>
      </c>
      <c r="O408" s="5">
        <v>52</v>
      </c>
      <c r="Q408" s="5">
        <v>25478</v>
      </c>
      <c r="R408" s="5">
        <v>82</v>
      </c>
      <c r="S408" s="5">
        <v>76211</v>
      </c>
      <c r="T408" s="5">
        <v>78</v>
      </c>
      <c r="U408" t="s">
        <v>2387</v>
      </c>
      <c r="V408" s="2">
        <v>81</v>
      </c>
      <c r="W408" s="5">
        <f>Top_500_Movies_Ranked_by_Combined_Critics_and_Audience_Scores[[#This Row],[Critic_Rating_RT]]-Top_500_Movies_Ranked_by_Combined_Critics_and_Audience_Scores[[#This Row],[Audience_Rating]]</f>
        <v>85</v>
      </c>
      <c r="X408" s="5">
        <f>FLOOR(Top_500_Movies_Ranked_by_Combined_Critics_and_Audience_Scores[[#This Row],[Year]],10)</f>
        <v>2020</v>
      </c>
    </row>
    <row r="409" spans="1:24" x14ac:dyDescent="0.2">
      <c r="A409" s="3">
        <v>408</v>
      </c>
      <c r="B409" t="s">
        <v>3939</v>
      </c>
      <c r="C409" s="5">
        <v>2022</v>
      </c>
      <c r="D409" t="s">
        <v>3940</v>
      </c>
      <c r="E409" t="s">
        <v>3941</v>
      </c>
      <c r="F409" t="s">
        <v>492</v>
      </c>
      <c r="G409" t="s">
        <v>4317</v>
      </c>
      <c r="H409" t="s">
        <v>4317</v>
      </c>
      <c r="I409" s="5">
        <v>81</v>
      </c>
      <c r="J409" s="4">
        <v>7.6</v>
      </c>
      <c r="K409" s="5">
        <v>76</v>
      </c>
      <c r="L409" s="5">
        <v>33863</v>
      </c>
      <c r="M409" s="5">
        <v>78</v>
      </c>
      <c r="N409" s="5">
        <v>80</v>
      </c>
      <c r="O409" s="5">
        <v>51</v>
      </c>
      <c r="Q409" s="5">
        <v>46479</v>
      </c>
      <c r="R409" s="5">
        <v>80</v>
      </c>
      <c r="S409" s="5">
        <v>138509</v>
      </c>
      <c r="T409" s="5">
        <v>91</v>
      </c>
      <c r="U409" t="s">
        <v>2216</v>
      </c>
      <c r="V409" s="2">
        <v>81</v>
      </c>
      <c r="W409" s="5">
        <f>Top_500_Movies_Ranked_by_Combined_Critics_and_Audience_Scores[[#This Row],[Critic_Rating_RT]]-Top_500_Movies_Ranked_by_Combined_Critics_and_Audience_Scores[[#This Row],[Audience_Rating]]</f>
        <v>80</v>
      </c>
      <c r="X409" s="5">
        <f>FLOOR(Top_500_Movies_Ranked_by_Combined_Critics_and_Audience_Scores[[#This Row],[Year]],10)</f>
        <v>2020</v>
      </c>
    </row>
    <row r="410" spans="1:24" x14ac:dyDescent="0.2">
      <c r="A410" s="3">
        <v>409</v>
      </c>
      <c r="B410" t="s">
        <v>3948</v>
      </c>
      <c r="C410" s="5">
        <v>2018</v>
      </c>
      <c r="D410" t="s">
        <v>3949</v>
      </c>
      <c r="E410" t="s">
        <v>701</v>
      </c>
      <c r="F410" t="s">
        <v>30</v>
      </c>
      <c r="G410" t="s">
        <v>4317</v>
      </c>
      <c r="H410" t="s">
        <v>4317</v>
      </c>
      <c r="I410" s="5">
        <v>81</v>
      </c>
      <c r="J410" s="4">
        <v>7.5</v>
      </c>
      <c r="K410" s="5">
        <v>75</v>
      </c>
      <c r="L410" s="5">
        <v>300877</v>
      </c>
      <c r="M410" s="5">
        <v>83</v>
      </c>
      <c r="N410" s="5">
        <v>83</v>
      </c>
      <c r="O410" s="5">
        <v>271</v>
      </c>
      <c r="P410" s="5">
        <v>81</v>
      </c>
      <c r="Q410" s="5">
        <v>312654</v>
      </c>
      <c r="R410" s="5">
        <v>78</v>
      </c>
      <c r="S410" s="5">
        <v>913658</v>
      </c>
      <c r="T410" s="5">
        <v>86</v>
      </c>
      <c r="U410" t="s">
        <v>3954</v>
      </c>
      <c r="V410" s="2">
        <v>81</v>
      </c>
      <c r="W410" s="5">
        <f>Top_500_Movies_Ranked_by_Combined_Critics_and_Audience_Scores[[#This Row],[Critic_Rating_RT]]-Top_500_Movies_Ranked_by_Combined_Critics_and_Audience_Scores[[#This Row],[Audience_Rating]]</f>
        <v>2</v>
      </c>
      <c r="X410" s="5">
        <f>FLOOR(Top_500_Movies_Ranked_by_Combined_Critics_and_Audience_Scores[[#This Row],[Year]],10)</f>
        <v>2010</v>
      </c>
    </row>
    <row r="411" spans="1:24" x14ac:dyDescent="0.2">
      <c r="A411" s="3">
        <v>410</v>
      </c>
      <c r="B411" t="s">
        <v>3957</v>
      </c>
      <c r="C411" s="5">
        <v>1976</v>
      </c>
      <c r="D411" t="s">
        <v>3958</v>
      </c>
      <c r="E411" t="s">
        <v>2120</v>
      </c>
      <c r="F411" t="s">
        <v>30</v>
      </c>
      <c r="G411" t="s">
        <v>3961</v>
      </c>
      <c r="H411" t="s">
        <v>3962</v>
      </c>
      <c r="I411" s="5">
        <v>81</v>
      </c>
      <c r="J411" s="4">
        <v>7.3</v>
      </c>
      <c r="K411" s="5">
        <v>73</v>
      </c>
      <c r="L411" s="5">
        <v>58164</v>
      </c>
      <c r="M411" s="5">
        <v>89</v>
      </c>
      <c r="N411" s="5">
        <v>81</v>
      </c>
      <c r="O411" s="5">
        <v>57</v>
      </c>
      <c r="P411" s="5">
        <v>78</v>
      </c>
      <c r="Q411" s="5">
        <v>45230</v>
      </c>
      <c r="R411" s="5">
        <v>76</v>
      </c>
      <c r="S411" s="5">
        <v>86112</v>
      </c>
      <c r="T411" s="5">
        <v>88</v>
      </c>
      <c r="U411" t="s">
        <v>253</v>
      </c>
      <c r="V411" s="2">
        <v>80.83</v>
      </c>
      <c r="W411" s="5">
        <f>Top_500_Movies_Ranked_by_Combined_Critics_and_Audience_Scores[[#This Row],[Critic_Rating_RT]]-Top_500_Movies_Ranked_by_Combined_Critics_and_Audience_Scores[[#This Row],[Audience_Rating]]</f>
        <v>3</v>
      </c>
      <c r="X411" s="5">
        <f>FLOOR(Top_500_Movies_Ranked_by_Combined_Critics_and_Audience_Scores[[#This Row],[Year]],10)</f>
        <v>1970</v>
      </c>
    </row>
    <row r="412" spans="1:24" x14ac:dyDescent="0.2">
      <c r="A412" s="3">
        <v>411</v>
      </c>
      <c r="B412" t="s">
        <v>3968</v>
      </c>
      <c r="C412" s="5">
        <v>1977</v>
      </c>
      <c r="D412" t="s">
        <v>3324</v>
      </c>
      <c r="E412" t="s">
        <v>1664</v>
      </c>
      <c r="F412" t="s">
        <v>30</v>
      </c>
      <c r="G412" t="s">
        <v>1064</v>
      </c>
      <c r="H412" t="s">
        <v>3971</v>
      </c>
      <c r="I412" s="5">
        <v>81</v>
      </c>
      <c r="J412" s="4">
        <v>7.3</v>
      </c>
      <c r="K412" s="5">
        <v>73</v>
      </c>
      <c r="L412" s="5">
        <v>135915</v>
      </c>
      <c r="M412" s="5">
        <v>87</v>
      </c>
      <c r="N412" s="5">
        <v>85</v>
      </c>
      <c r="O412" s="5">
        <v>70</v>
      </c>
      <c r="P412" s="5">
        <v>80</v>
      </c>
      <c r="Q412" s="5">
        <v>171798</v>
      </c>
      <c r="R412" s="5">
        <v>76</v>
      </c>
      <c r="S412" s="5">
        <v>399798</v>
      </c>
      <c r="T412" s="5">
        <v>84</v>
      </c>
      <c r="U412" t="s">
        <v>135</v>
      </c>
      <c r="V412" s="2">
        <v>80.83</v>
      </c>
      <c r="W412" s="5">
        <f>Top_500_Movies_Ranked_by_Combined_Critics_and_Audience_Scores[[#This Row],[Critic_Rating_RT]]-Top_500_Movies_Ranked_by_Combined_Critics_and_Audience_Scores[[#This Row],[Audience_Rating]]</f>
        <v>5</v>
      </c>
      <c r="X412" s="5">
        <f>FLOOR(Top_500_Movies_Ranked_by_Combined_Critics_and_Audience_Scores[[#This Row],[Year]],10)</f>
        <v>1970</v>
      </c>
    </row>
    <row r="413" spans="1:24" x14ac:dyDescent="0.2">
      <c r="A413" s="3">
        <v>412</v>
      </c>
      <c r="B413" t="s">
        <v>3976</v>
      </c>
      <c r="C413" s="5">
        <v>2017</v>
      </c>
      <c r="D413" t="s">
        <v>3977</v>
      </c>
      <c r="E413" t="s">
        <v>3308</v>
      </c>
      <c r="F413" t="s">
        <v>30</v>
      </c>
      <c r="G413" t="s">
        <v>4317</v>
      </c>
      <c r="H413" t="s">
        <v>4317</v>
      </c>
      <c r="I413" s="5">
        <v>80</v>
      </c>
      <c r="J413" s="4">
        <v>7.5</v>
      </c>
      <c r="K413" s="5">
        <v>75</v>
      </c>
      <c r="L413" s="5">
        <v>646064</v>
      </c>
      <c r="M413" s="5">
        <v>86</v>
      </c>
      <c r="N413" s="5">
        <v>82</v>
      </c>
      <c r="O413" s="5">
        <v>259</v>
      </c>
      <c r="P413" s="5">
        <v>83</v>
      </c>
      <c r="Q413" s="5">
        <v>782217</v>
      </c>
      <c r="R413" s="5">
        <v>74</v>
      </c>
      <c r="S413" s="5">
        <v>2216927</v>
      </c>
      <c r="T413" s="5">
        <v>85</v>
      </c>
      <c r="U413" t="s">
        <v>75</v>
      </c>
      <c r="V413" s="2">
        <v>80.83</v>
      </c>
      <c r="W413" s="5">
        <f>Top_500_Movies_Ranked_by_Combined_Critics_and_Audience_Scores[[#This Row],[Critic_Rating_RT]]-Top_500_Movies_Ranked_by_Combined_Critics_and_Audience_Scores[[#This Row],[Audience_Rating]]</f>
        <v>-1</v>
      </c>
      <c r="X413" s="5">
        <f>FLOOR(Top_500_Movies_Ranked_by_Combined_Critics_and_Audience_Scores[[#This Row],[Year]],10)</f>
        <v>2010</v>
      </c>
    </row>
    <row r="414" spans="1:24" x14ac:dyDescent="0.2">
      <c r="A414" s="3">
        <v>413</v>
      </c>
      <c r="B414" t="s">
        <v>3984</v>
      </c>
      <c r="C414" s="5">
        <v>2009</v>
      </c>
      <c r="D414" t="s">
        <v>140</v>
      </c>
      <c r="E414" t="s">
        <v>3985</v>
      </c>
      <c r="F414" t="s">
        <v>30</v>
      </c>
      <c r="G414" t="s">
        <v>3988</v>
      </c>
      <c r="H414" t="s">
        <v>1570</v>
      </c>
      <c r="I414" s="5">
        <v>80</v>
      </c>
      <c r="J414" s="4">
        <v>7.5</v>
      </c>
      <c r="K414" s="5">
        <v>75</v>
      </c>
      <c r="L414" s="5">
        <v>39450</v>
      </c>
      <c r="M414" s="5">
        <v>81</v>
      </c>
      <c r="N414" s="5">
        <v>77</v>
      </c>
      <c r="O414" s="5">
        <v>59</v>
      </c>
      <c r="P414" s="5">
        <v>82</v>
      </c>
      <c r="Q414" s="5">
        <v>25130</v>
      </c>
      <c r="R414" s="5">
        <v>76</v>
      </c>
      <c r="S414" s="5">
        <v>52128</v>
      </c>
      <c r="T414" s="5">
        <v>94</v>
      </c>
      <c r="U414" t="s">
        <v>75</v>
      </c>
      <c r="V414" s="2">
        <v>80.83</v>
      </c>
      <c r="W414" s="5">
        <f>Top_500_Movies_Ranked_by_Combined_Critics_and_Audience_Scores[[#This Row],[Critic_Rating_RT]]-Top_500_Movies_Ranked_by_Combined_Critics_and_Audience_Scores[[#This Row],[Audience_Rating]]</f>
        <v>-5</v>
      </c>
      <c r="X414" s="5">
        <f>FLOOR(Top_500_Movies_Ranked_by_Combined_Critics_and_Audience_Scores[[#This Row],[Year]],10)</f>
        <v>2000</v>
      </c>
    </row>
    <row r="415" spans="1:24" x14ac:dyDescent="0.2">
      <c r="A415" s="3">
        <v>414</v>
      </c>
      <c r="B415" t="s">
        <v>3993</v>
      </c>
      <c r="C415" s="5">
        <v>1961</v>
      </c>
      <c r="D415" t="s">
        <v>1544</v>
      </c>
      <c r="E415" t="s">
        <v>3994</v>
      </c>
      <c r="F415" t="s">
        <v>30</v>
      </c>
      <c r="G415" t="s">
        <v>3997</v>
      </c>
      <c r="H415" t="s">
        <v>1065</v>
      </c>
      <c r="I415" s="5">
        <v>81</v>
      </c>
      <c r="J415" s="4">
        <v>7.6</v>
      </c>
      <c r="K415" s="5">
        <v>76</v>
      </c>
      <c r="L415" s="5">
        <v>124268</v>
      </c>
      <c r="M415" s="5">
        <v>86</v>
      </c>
      <c r="N415" s="5">
        <v>85</v>
      </c>
      <c r="O415" s="5">
        <v>76</v>
      </c>
      <c r="P415" s="5">
        <v>81</v>
      </c>
      <c r="Q415" s="5">
        <v>181504</v>
      </c>
      <c r="R415" s="5">
        <v>76</v>
      </c>
      <c r="S415" s="5">
        <v>205886</v>
      </c>
      <c r="T415" s="5">
        <v>81</v>
      </c>
      <c r="U415" t="s">
        <v>135</v>
      </c>
      <c r="V415" s="2">
        <v>80.83</v>
      </c>
      <c r="W415" s="5">
        <f>Top_500_Movies_Ranked_by_Combined_Critics_and_Audience_Scores[[#This Row],[Critic_Rating_RT]]-Top_500_Movies_Ranked_by_Combined_Critics_and_Audience_Scores[[#This Row],[Audience_Rating]]</f>
        <v>4</v>
      </c>
      <c r="X415" s="5">
        <f>FLOOR(Top_500_Movies_Ranked_by_Combined_Critics_and_Audience_Scores[[#This Row],[Year]],10)</f>
        <v>1960</v>
      </c>
    </row>
    <row r="416" spans="1:24" x14ac:dyDescent="0.2">
      <c r="A416" s="3">
        <v>415</v>
      </c>
      <c r="B416" t="s">
        <v>4002</v>
      </c>
      <c r="C416" s="5">
        <v>1973</v>
      </c>
      <c r="D416" t="s">
        <v>4003</v>
      </c>
      <c r="E416" t="s">
        <v>4004</v>
      </c>
      <c r="F416" t="s">
        <v>30</v>
      </c>
      <c r="G416" t="s">
        <v>4007</v>
      </c>
      <c r="H416" t="s">
        <v>33</v>
      </c>
      <c r="I416" s="5">
        <v>82</v>
      </c>
      <c r="J416" s="4">
        <v>7.1</v>
      </c>
      <c r="K416" s="5">
        <v>71</v>
      </c>
      <c r="L416" s="5">
        <v>65824</v>
      </c>
      <c r="M416" s="5">
        <v>95</v>
      </c>
      <c r="N416" s="5">
        <v>91</v>
      </c>
      <c r="O416" s="5">
        <v>72</v>
      </c>
      <c r="P416" s="5">
        <v>74</v>
      </c>
      <c r="Q416" s="5">
        <v>48307</v>
      </c>
      <c r="R416" s="5">
        <v>76</v>
      </c>
      <c r="S416" s="5">
        <v>107001</v>
      </c>
      <c r="T416" s="5">
        <v>78</v>
      </c>
      <c r="U416" t="s">
        <v>75</v>
      </c>
      <c r="V416" s="2">
        <v>80.83</v>
      </c>
      <c r="W416" s="5">
        <f>Top_500_Movies_Ranked_by_Combined_Critics_and_Audience_Scores[[#This Row],[Critic_Rating_RT]]-Top_500_Movies_Ranked_by_Combined_Critics_and_Audience_Scores[[#This Row],[Audience_Rating]]</f>
        <v>17</v>
      </c>
      <c r="X416" s="5">
        <f>FLOOR(Top_500_Movies_Ranked_by_Combined_Critics_and_Audience_Scores[[#This Row],[Year]],10)</f>
        <v>1970</v>
      </c>
    </row>
    <row r="417" spans="1:24" x14ac:dyDescent="0.2">
      <c r="A417" s="3">
        <v>416</v>
      </c>
      <c r="B417" t="s">
        <v>4012</v>
      </c>
      <c r="C417" s="5">
        <v>2011</v>
      </c>
      <c r="D417" t="s">
        <v>27</v>
      </c>
      <c r="E417" t="s">
        <v>2678</v>
      </c>
      <c r="F417" t="s">
        <v>2680</v>
      </c>
      <c r="G417" t="s">
        <v>4015</v>
      </c>
      <c r="H417" t="s">
        <v>4016</v>
      </c>
      <c r="I417" s="5">
        <v>82</v>
      </c>
      <c r="J417" s="4">
        <v>7.8</v>
      </c>
      <c r="K417" s="5">
        <v>78</v>
      </c>
      <c r="L417" s="5">
        <v>51984</v>
      </c>
      <c r="M417" s="5">
        <v>82</v>
      </c>
      <c r="N417" s="5">
        <v>82</v>
      </c>
      <c r="O417" s="5">
        <v>69</v>
      </c>
      <c r="P417" s="5">
        <v>74</v>
      </c>
      <c r="Q417" s="5">
        <v>20522</v>
      </c>
      <c r="R417" s="5">
        <v>84</v>
      </c>
      <c r="S417" s="5">
        <v>49211</v>
      </c>
      <c r="T417" s="5">
        <v>85</v>
      </c>
      <c r="U417" t="s">
        <v>325</v>
      </c>
      <c r="V417" s="2">
        <v>80.83</v>
      </c>
      <c r="W417" s="5">
        <f>Top_500_Movies_Ranked_by_Combined_Critics_and_Audience_Scores[[#This Row],[Critic_Rating_RT]]-Top_500_Movies_Ranked_by_Combined_Critics_and_Audience_Scores[[#This Row],[Audience_Rating]]</f>
        <v>8</v>
      </c>
      <c r="X417" s="5">
        <f>FLOOR(Top_500_Movies_Ranked_by_Combined_Critics_and_Audience_Scores[[#This Row],[Year]],10)</f>
        <v>2010</v>
      </c>
    </row>
    <row r="418" spans="1:24" x14ac:dyDescent="0.2">
      <c r="A418" s="3">
        <v>417</v>
      </c>
      <c r="B418" t="s">
        <v>4021</v>
      </c>
      <c r="C418" s="5">
        <v>2023</v>
      </c>
      <c r="D418" t="s">
        <v>1412</v>
      </c>
      <c r="E418" t="s">
        <v>4339</v>
      </c>
      <c r="F418" t="s">
        <v>321</v>
      </c>
      <c r="G418" t="s">
        <v>4317</v>
      </c>
      <c r="H418" t="s">
        <v>4317</v>
      </c>
      <c r="I418" s="5">
        <v>81</v>
      </c>
      <c r="J418" s="4">
        <v>7.4</v>
      </c>
      <c r="K418" s="5">
        <v>74</v>
      </c>
      <c r="L418" s="5">
        <v>17334</v>
      </c>
      <c r="M418" s="5">
        <v>85</v>
      </c>
      <c r="N418" s="5">
        <v>85</v>
      </c>
      <c r="O418" s="5">
        <v>106</v>
      </c>
      <c r="Q418" s="5">
        <v>25805</v>
      </c>
      <c r="R418" s="5">
        <v>80</v>
      </c>
      <c r="S418" s="5">
        <v>76768</v>
      </c>
      <c r="T418" s="5">
        <v>80</v>
      </c>
      <c r="U418" t="s">
        <v>4317</v>
      </c>
      <c r="V418" s="2">
        <v>80.8</v>
      </c>
      <c r="W418" s="5">
        <f>Top_500_Movies_Ranked_by_Combined_Critics_and_Audience_Scores[[#This Row],[Critic_Rating_RT]]-Top_500_Movies_Ranked_by_Combined_Critics_and_Audience_Scores[[#This Row],[Audience_Rating]]</f>
        <v>85</v>
      </c>
      <c r="X418" s="5">
        <f>FLOOR(Top_500_Movies_Ranked_by_Combined_Critics_and_Audience_Scores[[#This Row],[Year]],10)</f>
        <v>2020</v>
      </c>
    </row>
    <row r="419" spans="1:24" x14ac:dyDescent="0.2">
      <c r="A419" s="3">
        <v>418</v>
      </c>
      <c r="B419" t="s">
        <v>4030</v>
      </c>
      <c r="C419" s="5">
        <v>2021</v>
      </c>
      <c r="D419" t="s">
        <v>519</v>
      </c>
      <c r="E419" t="s">
        <v>4031</v>
      </c>
      <c r="F419" t="s">
        <v>30</v>
      </c>
      <c r="G419" t="s">
        <v>4317</v>
      </c>
      <c r="H419" t="s">
        <v>4317</v>
      </c>
      <c r="I419" s="5">
        <v>81</v>
      </c>
      <c r="J419" s="4">
        <v>7.4</v>
      </c>
      <c r="K419" s="5">
        <v>74</v>
      </c>
      <c r="L419" s="5">
        <v>94545</v>
      </c>
      <c r="M419" s="5">
        <v>84</v>
      </c>
      <c r="N419" s="5">
        <v>83</v>
      </c>
      <c r="O419" s="5">
        <v>201</v>
      </c>
      <c r="Q419" s="5">
        <v>101742</v>
      </c>
      <c r="R419" s="5">
        <v>80</v>
      </c>
      <c r="S419" s="5">
        <v>299328</v>
      </c>
      <c r="T419" s="5">
        <v>83</v>
      </c>
      <c r="U419" t="s">
        <v>4317</v>
      </c>
      <c r="V419" s="2">
        <v>80.8</v>
      </c>
      <c r="W419" s="5">
        <f>Top_500_Movies_Ranked_by_Combined_Critics_and_Audience_Scores[[#This Row],[Critic_Rating_RT]]-Top_500_Movies_Ranked_by_Combined_Critics_and_Audience_Scores[[#This Row],[Audience_Rating]]</f>
        <v>83</v>
      </c>
      <c r="X419" s="5">
        <f>FLOOR(Top_500_Movies_Ranked_by_Combined_Critics_and_Audience_Scores[[#This Row],[Year]],10)</f>
        <v>2020</v>
      </c>
    </row>
    <row r="420" spans="1:24" x14ac:dyDescent="0.2">
      <c r="A420" s="3">
        <v>419</v>
      </c>
      <c r="B420" t="s">
        <v>4038</v>
      </c>
      <c r="C420" s="5">
        <v>2023</v>
      </c>
      <c r="D420" t="s">
        <v>519</v>
      </c>
      <c r="E420" t="s">
        <v>4039</v>
      </c>
      <c r="F420" t="s">
        <v>492</v>
      </c>
      <c r="G420" t="s">
        <v>4317</v>
      </c>
      <c r="H420" t="s">
        <v>4317</v>
      </c>
      <c r="I420" s="5">
        <v>81</v>
      </c>
      <c r="J420" s="4">
        <v>7.8</v>
      </c>
      <c r="K420" s="5">
        <v>78</v>
      </c>
      <c r="L420" s="5">
        <v>159519</v>
      </c>
      <c r="M420" s="5">
        <v>72</v>
      </c>
      <c r="N420" s="5">
        <v>77</v>
      </c>
      <c r="O420" s="5">
        <v>94</v>
      </c>
      <c r="Q420" s="5">
        <v>303260</v>
      </c>
      <c r="R420" s="5">
        <v>82</v>
      </c>
      <c r="S420" s="5">
        <v>905866</v>
      </c>
      <c r="T420" s="5">
        <v>95</v>
      </c>
      <c r="U420" t="s">
        <v>885</v>
      </c>
      <c r="V420" s="2">
        <v>80.8</v>
      </c>
      <c r="W420" s="5">
        <f>Top_500_Movies_Ranked_by_Combined_Critics_and_Audience_Scores[[#This Row],[Critic_Rating_RT]]-Top_500_Movies_Ranked_by_Combined_Critics_and_Audience_Scores[[#This Row],[Audience_Rating]]</f>
        <v>77</v>
      </c>
      <c r="X420" s="5">
        <f>FLOOR(Top_500_Movies_Ranked_by_Combined_Critics_and_Audience_Scores[[#This Row],[Year]],10)</f>
        <v>2020</v>
      </c>
    </row>
    <row r="421" spans="1:24" x14ac:dyDescent="0.2">
      <c r="A421" s="3">
        <v>420</v>
      </c>
      <c r="B421" t="s">
        <v>4046</v>
      </c>
      <c r="C421" s="5">
        <v>2022</v>
      </c>
      <c r="D421" t="s">
        <v>1161</v>
      </c>
      <c r="E421" t="s">
        <v>4047</v>
      </c>
      <c r="F421" t="s">
        <v>30</v>
      </c>
      <c r="G421" t="s">
        <v>4317</v>
      </c>
      <c r="H421" t="s">
        <v>4317</v>
      </c>
      <c r="I421" s="5">
        <v>81</v>
      </c>
      <c r="J421" s="4">
        <v>7.6</v>
      </c>
      <c r="K421" s="5">
        <v>76</v>
      </c>
      <c r="L421" s="5">
        <v>15708</v>
      </c>
      <c r="M421" s="5">
        <v>84</v>
      </c>
      <c r="N421" s="5">
        <v>83</v>
      </c>
      <c r="O421" s="5">
        <v>93</v>
      </c>
      <c r="Q421" s="5">
        <v>35029</v>
      </c>
      <c r="R421" s="5">
        <v>82</v>
      </c>
      <c r="S421" s="5">
        <v>104389</v>
      </c>
      <c r="T421" s="5">
        <v>79</v>
      </c>
      <c r="U421" t="s">
        <v>4052</v>
      </c>
      <c r="V421" s="2">
        <v>80.8</v>
      </c>
      <c r="W421" s="5">
        <f>Top_500_Movies_Ranked_by_Combined_Critics_and_Audience_Scores[[#This Row],[Critic_Rating_RT]]-Top_500_Movies_Ranked_by_Combined_Critics_and_Audience_Scores[[#This Row],[Audience_Rating]]</f>
        <v>83</v>
      </c>
      <c r="X421" s="5">
        <f>FLOOR(Top_500_Movies_Ranked_by_Combined_Critics_and_Audience_Scores[[#This Row],[Year]],10)</f>
        <v>2020</v>
      </c>
    </row>
    <row r="422" spans="1:24" x14ac:dyDescent="0.2">
      <c r="A422" s="3">
        <v>421</v>
      </c>
      <c r="B422" t="s">
        <v>4055</v>
      </c>
      <c r="C422" s="5">
        <v>2022</v>
      </c>
      <c r="D422" t="s">
        <v>4056</v>
      </c>
      <c r="E422" t="s">
        <v>1230</v>
      </c>
      <c r="F422" t="s">
        <v>155</v>
      </c>
      <c r="G422" t="s">
        <v>4317</v>
      </c>
      <c r="H422" t="s">
        <v>4317</v>
      </c>
      <c r="I422" s="5">
        <v>81</v>
      </c>
      <c r="J422" s="4">
        <v>7.3</v>
      </c>
      <c r="K422" s="5">
        <v>73</v>
      </c>
      <c r="L422" s="5">
        <v>61599</v>
      </c>
      <c r="M422" s="5">
        <v>85</v>
      </c>
      <c r="N422" s="5">
        <v>84</v>
      </c>
      <c r="O422" s="5">
        <v>146</v>
      </c>
      <c r="Q422" s="5">
        <v>106462</v>
      </c>
      <c r="R422" s="5">
        <v>80</v>
      </c>
      <c r="S422" s="5">
        <v>317920</v>
      </c>
      <c r="T422" s="5">
        <v>82</v>
      </c>
      <c r="U422" t="s">
        <v>2387</v>
      </c>
      <c r="V422" s="2">
        <v>80.8</v>
      </c>
      <c r="W422" s="5">
        <f>Top_500_Movies_Ranked_by_Combined_Critics_and_Audience_Scores[[#This Row],[Critic_Rating_RT]]-Top_500_Movies_Ranked_by_Combined_Critics_and_Audience_Scores[[#This Row],[Audience_Rating]]</f>
        <v>84</v>
      </c>
      <c r="X422" s="5">
        <f>FLOOR(Top_500_Movies_Ranked_by_Combined_Critics_and_Audience_Scores[[#This Row],[Year]],10)</f>
        <v>2020</v>
      </c>
    </row>
    <row r="423" spans="1:24" x14ac:dyDescent="0.2">
      <c r="A423" s="3">
        <v>422</v>
      </c>
      <c r="B423" t="s">
        <v>4063</v>
      </c>
      <c r="C423" s="5">
        <v>2015</v>
      </c>
      <c r="D423" t="s">
        <v>371</v>
      </c>
      <c r="E423" t="s">
        <v>4064</v>
      </c>
      <c r="F423" t="s">
        <v>30</v>
      </c>
      <c r="G423" t="s">
        <v>3605</v>
      </c>
      <c r="H423" t="s">
        <v>4067</v>
      </c>
      <c r="I423" s="5">
        <v>80</v>
      </c>
      <c r="J423" s="4">
        <v>7.7</v>
      </c>
      <c r="K423" s="5">
        <v>77</v>
      </c>
      <c r="L423" s="5">
        <v>614501</v>
      </c>
      <c r="M423" s="5">
        <v>78</v>
      </c>
      <c r="N423" s="5">
        <v>81</v>
      </c>
      <c r="O423" s="5">
        <v>201</v>
      </c>
      <c r="P423" s="5">
        <v>83</v>
      </c>
      <c r="Q423" s="5">
        <v>401977</v>
      </c>
      <c r="R423" s="5">
        <v>80</v>
      </c>
      <c r="S423" s="5">
        <v>1057393</v>
      </c>
      <c r="T423" s="5">
        <v>85</v>
      </c>
      <c r="U423" t="s">
        <v>4070</v>
      </c>
      <c r="V423" s="2">
        <v>80.67</v>
      </c>
      <c r="W423" s="5">
        <f>Top_500_Movies_Ranked_by_Combined_Critics_and_Audience_Scores[[#This Row],[Critic_Rating_RT]]-Top_500_Movies_Ranked_by_Combined_Critics_and_Audience_Scores[[#This Row],[Audience_Rating]]</f>
        <v>-2</v>
      </c>
      <c r="X423" s="5">
        <f>FLOOR(Top_500_Movies_Ranked_by_Combined_Critics_and_Audience_Scores[[#This Row],[Year]],10)</f>
        <v>2010</v>
      </c>
    </row>
    <row r="424" spans="1:24" x14ac:dyDescent="0.2">
      <c r="A424" s="3">
        <v>423</v>
      </c>
      <c r="B424" t="s">
        <v>4074</v>
      </c>
      <c r="C424" s="5">
        <v>1981</v>
      </c>
      <c r="D424" t="s">
        <v>4075</v>
      </c>
      <c r="E424" t="s">
        <v>4076</v>
      </c>
      <c r="F424" t="s">
        <v>30</v>
      </c>
      <c r="G424" t="s">
        <v>2499</v>
      </c>
      <c r="H424" t="s">
        <v>4079</v>
      </c>
      <c r="I424" s="5">
        <v>80</v>
      </c>
      <c r="J424" s="4">
        <v>7.4</v>
      </c>
      <c r="K424" s="5">
        <v>74</v>
      </c>
      <c r="L424" s="5">
        <v>68965</v>
      </c>
      <c r="M424" s="5">
        <v>86</v>
      </c>
      <c r="N424" s="5">
        <v>81</v>
      </c>
      <c r="O424" s="5">
        <v>52</v>
      </c>
      <c r="P424" s="5">
        <v>80</v>
      </c>
      <c r="Q424" s="5">
        <v>72170</v>
      </c>
      <c r="R424" s="5">
        <v>82</v>
      </c>
      <c r="S424" s="5">
        <v>192708</v>
      </c>
      <c r="T424" s="5">
        <v>81</v>
      </c>
      <c r="U424" t="s">
        <v>1148</v>
      </c>
      <c r="V424" s="2">
        <v>80.67</v>
      </c>
      <c r="W424" s="5">
        <f>Top_500_Movies_Ranked_by_Combined_Critics_and_Audience_Scores[[#This Row],[Critic_Rating_RT]]-Top_500_Movies_Ranked_by_Combined_Critics_and_Audience_Scores[[#This Row],[Audience_Rating]]</f>
        <v>1</v>
      </c>
      <c r="X424" s="5">
        <f>FLOOR(Top_500_Movies_Ranked_by_Combined_Critics_and_Audience_Scores[[#This Row],[Year]],10)</f>
        <v>1980</v>
      </c>
    </row>
    <row r="425" spans="1:24" x14ac:dyDescent="0.2">
      <c r="A425" s="3">
        <v>424</v>
      </c>
      <c r="B425" t="s">
        <v>4084</v>
      </c>
      <c r="C425" s="5">
        <v>1976</v>
      </c>
      <c r="D425" t="s">
        <v>1731</v>
      </c>
      <c r="E425" t="s">
        <v>4076</v>
      </c>
      <c r="F425" t="s">
        <v>30</v>
      </c>
      <c r="G425" t="s">
        <v>4087</v>
      </c>
      <c r="H425" t="s">
        <v>167</v>
      </c>
      <c r="I425" s="5">
        <v>81</v>
      </c>
      <c r="J425" s="4">
        <v>7.4</v>
      </c>
      <c r="K425" s="5">
        <v>74</v>
      </c>
      <c r="L425" s="5">
        <v>216883</v>
      </c>
      <c r="M425" s="5">
        <v>86</v>
      </c>
      <c r="N425" s="5">
        <v>84</v>
      </c>
      <c r="O425" s="5">
        <v>72</v>
      </c>
      <c r="P425" s="5">
        <v>76</v>
      </c>
      <c r="Q425" s="5">
        <v>440494</v>
      </c>
      <c r="R425" s="5">
        <v>78</v>
      </c>
      <c r="S425" s="5">
        <v>614228</v>
      </c>
      <c r="T425" s="5">
        <v>86</v>
      </c>
      <c r="U425" t="s">
        <v>75</v>
      </c>
      <c r="V425" s="2">
        <v>80.67</v>
      </c>
      <c r="W425" s="5">
        <f>Top_500_Movies_Ranked_by_Combined_Critics_and_Audience_Scores[[#This Row],[Critic_Rating_RT]]-Top_500_Movies_Ranked_by_Combined_Critics_and_Audience_Scores[[#This Row],[Audience_Rating]]</f>
        <v>8</v>
      </c>
      <c r="X425" s="5">
        <f>FLOOR(Top_500_Movies_Ranked_by_Combined_Critics_and_Audience_Scores[[#This Row],[Year]],10)</f>
        <v>1970</v>
      </c>
    </row>
    <row r="426" spans="1:24" x14ac:dyDescent="0.2">
      <c r="A426" s="3">
        <v>425</v>
      </c>
      <c r="B426" t="s">
        <v>4092</v>
      </c>
      <c r="C426" s="5">
        <v>2011</v>
      </c>
      <c r="D426" t="s">
        <v>764</v>
      </c>
      <c r="E426" t="s">
        <v>4093</v>
      </c>
      <c r="F426" t="s">
        <v>30</v>
      </c>
      <c r="G426" t="s">
        <v>4096</v>
      </c>
      <c r="H426" t="s">
        <v>4097</v>
      </c>
      <c r="I426" s="5">
        <v>81</v>
      </c>
      <c r="J426" s="4">
        <v>7.8</v>
      </c>
      <c r="K426" s="5">
        <v>78</v>
      </c>
      <c r="L426" s="5">
        <v>732276</v>
      </c>
      <c r="M426" s="5">
        <v>79</v>
      </c>
      <c r="N426" s="5">
        <v>82</v>
      </c>
      <c r="O426" s="5">
        <v>258</v>
      </c>
      <c r="P426" s="5">
        <v>78</v>
      </c>
      <c r="Q426" s="5">
        <v>557384</v>
      </c>
      <c r="R426" s="5">
        <v>78</v>
      </c>
      <c r="S426" s="5">
        <v>1431744</v>
      </c>
      <c r="T426" s="5">
        <v>89</v>
      </c>
      <c r="U426" t="s">
        <v>75</v>
      </c>
      <c r="V426" s="2">
        <v>80.67</v>
      </c>
      <c r="W426" s="5">
        <f>Top_500_Movies_Ranked_by_Combined_Critics_and_Audience_Scores[[#This Row],[Critic_Rating_RT]]-Top_500_Movies_Ranked_by_Combined_Critics_and_Audience_Scores[[#This Row],[Audience_Rating]]</f>
        <v>4</v>
      </c>
      <c r="X426" s="5">
        <f>FLOOR(Top_500_Movies_Ranked_by_Combined_Critics_and_Audience_Scores[[#This Row],[Year]],10)</f>
        <v>2010</v>
      </c>
    </row>
    <row r="427" spans="1:24" x14ac:dyDescent="0.2">
      <c r="A427" s="3">
        <v>426</v>
      </c>
      <c r="B427" t="s">
        <v>4102</v>
      </c>
      <c r="C427" s="5">
        <v>2018</v>
      </c>
      <c r="D427" t="s">
        <v>1304</v>
      </c>
      <c r="E427" t="s">
        <v>2212</v>
      </c>
      <c r="F427" t="s">
        <v>30</v>
      </c>
      <c r="G427" t="s">
        <v>4317</v>
      </c>
      <c r="H427" t="s">
        <v>4317</v>
      </c>
      <c r="I427" s="5">
        <v>81</v>
      </c>
      <c r="J427" s="4">
        <v>7.3</v>
      </c>
      <c r="K427" s="5">
        <v>73</v>
      </c>
      <c r="L427" s="5">
        <v>868835</v>
      </c>
      <c r="M427" s="5">
        <v>88</v>
      </c>
      <c r="N427" s="5">
        <v>84</v>
      </c>
      <c r="O427" s="5">
        <v>302</v>
      </c>
      <c r="P427" s="5">
        <v>77</v>
      </c>
      <c r="Q427" s="5">
        <v>754859</v>
      </c>
      <c r="R427" s="5">
        <v>74</v>
      </c>
      <c r="S427" s="5">
        <v>2088155</v>
      </c>
      <c r="T427" s="5">
        <v>88</v>
      </c>
      <c r="U427" t="s">
        <v>444</v>
      </c>
      <c r="V427" s="2">
        <v>80.67</v>
      </c>
      <c r="W427" s="5">
        <f>Top_500_Movies_Ranked_by_Combined_Critics_and_Audience_Scores[[#This Row],[Critic_Rating_RT]]-Top_500_Movies_Ranked_by_Combined_Critics_and_Audience_Scores[[#This Row],[Audience_Rating]]</f>
        <v>7</v>
      </c>
      <c r="X427" s="5">
        <f>FLOOR(Top_500_Movies_Ranked_by_Combined_Critics_and_Audience_Scores[[#This Row],[Year]],10)</f>
        <v>2010</v>
      </c>
    </row>
    <row r="428" spans="1:24" x14ac:dyDescent="0.2">
      <c r="A428" s="3">
        <v>427</v>
      </c>
      <c r="B428" t="s">
        <v>4109</v>
      </c>
      <c r="C428" s="5">
        <v>1994</v>
      </c>
      <c r="D428" t="s">
        <v>4110</v>
      </c>
      <c r="E428" t="s">
        <v>349</v>
      </c>
      <c r="F428" t="s">
        <v>30</v>
      </c>
      <c r="G428" t="s">
        <v>4113</v>
      </c>
      <c r="H428" t="s">
        <v>118</v>
      </c>
      <c r="I428" s="5">
        <v>81</v>
      </c>
      <c r="J428" s="4">
        <v>7.2</v>
      </c>
      <c r="K428" s="5">
        <v>72</v>
      </c>
      <c r="L428" s="5">
        <v>68993</v>
      </c>
      <c r="M428" s="5">
        <v>86</v>
      </c>
      <c r="N428" s="5">
        <v>83</v>
      </c>
      <c r="O428" s="5">
        <v>61</v>
      </c>
      <c r="P428" s="5">
        <v>79</v>
      </c>
      <c r="Q428" s="5">
        <v>45694</v>
      </c>
      <c r="R428" s="5">
        <v>76</v>
      </c>
      <c r="S428" s="5">
        <v>56678</v>
      </c>
      <c r="T428" s="5">
        <v>88</v>
      </c>
      <c r="U428" t="s">
        <v>4317</v>
      </c>
      <c r="V428" s="2">
        <v>80.67</v>
      </c>
      <c r="W428" s="5">
        <f>Top_500_Movies_Ranked_by_Combined_Critics_and_Audience_Scores[[#This Row],[Critic_Rating_RT]]-Top_500_Movies_Ranked_by_Combined_Critics_and_Audience_Scores[[#This Row],[Audience_Rating]]</f>
        <v>4</v>
      </c>
      <c r="X428" s="5">
        <f>FLOOR(Top_500_Movies_Ranked_by_Combined_Critics_and_Audience_Scores[[#This Row],[Year]],10)</f>
        <v>1990</v>
      </c>
    </row>
    <row r="429" spans="1:24" x14ac:dyDescent="0.2">
      <c r="A429" s="3">
        <v>428</v>
      </c>
      <c r="B429" t="s">
        <v>4118</v>
      </c>
      <c r="C429" s="5">
        <v>2017</v>
      </c>
      <c r="D429" t="s">
        <v>2316</v>
      </c>
      <c r="E429" t="s">
        <v>1345</v>
      </c>
      <c r="F429" t="s">
        <v>30</v>
      </c>
      <c r="G429" t="s">
        <v>4317</v>
      </c>
      <c r="H429" t="s">
        <v>4317</v>
      </c>
      <c r="I429" s="5">
        <v>81</v>
      </c>
      <c r="J429" s="4">
        <v>8</v>
      </c>
      <c r="K429" s="5">
        <v>80</v>
      </c>
      <c r="L429" s="5">
        <v>708433</v>
      </c>
      <c r="M429" s="5">
        <v>81</v>
      </c>
      <c r="N429" s="5">
        <v>83</v>
      </c>
      <c r="O429" s="5">
        <v>293</v>
      </c>
      <c r="P429" s="5">
        <v>79</v>
      </c>
      <c r="Q429" s="5">
        <v>560448</v>
      </c>
      <c r="R429" s="5">
        <v>82</v>
      </c>
      <c r="S429" s="5">
        <v>1608736</v>
      </c>
      <c r="T429" s="5">
        <v>79</v>
      </c>
      <c r="U429" t="s">
        <v>1465</v>
      </c>
      <c r="V429" s="2">
        <v>80.67</v>
      </c>
      <c r="W429" s="5">
        <f>Top_500_Movies_Ranked_by_Combined_Critics_and_Audience_Scores[[#This Row],[Critic_Rating_RT]]-Top_500_Movies_Ranked_by_Combined_Critics_and_Audience_Scores[[#This Row],[Audience_Rating]]</f>
        <v>4</v>
      </c>
      <c r="X429" s="5">
        <f>FLOOR(Top_500_Movies_Ranked_by_Combined_Critics_and_Audience_Scores[[#This Row],[Year]],10)</f>
        <v>2010</v>
      </c>
    </row>
    <row r="430" spans="1:24" x14ac:dyDescent="0.2">
      <c r="A430" s="3">
        <v>429</v>
      </c>
      <c r="B430" t="s">
        <v>4125</v>
      </c>
      <c r="C430" s="5">
        <v>2023</v>
      </c>
      <c r="D430" t="s">
        <v>992</v>
      </c>
      <c r="E430" t="s">
        <v>4126</v>
      </c>
      <c r="F430" t="s">
        <v>30</v>
      </c>
      <c r="G430" t="s">
        <v>4317</v>
      </c>
      <c r="H430" t="s">
        <v>4317</v>
      </c>
      <c r="I430" s="5">
        <v>81</v>
      </c>
      <c r="J430" s="4">
        <v>7.5</v>
      </c>
      <c r="K430" s="5">
        <v>75</v>
      </c>
      <c r="L430" s="5">
        <v>109395</v>
      </c>
      <c r="M430" s="5">
        <v>81</v>
      </c>
      <c r="N430" s="5">
        <v>82</v>
      </c>
      <c r="O430" s="5">
        <v>157</v>
      </c>
      <c r="Q430" s="5">
        <v>166174</v>
      </c>
      <c r="R430" s="5">
        <v>74</v>
      </c>
      <c r="S430" s="5">
        <v>492612</v>
      </c>
      <c r="T430" s="5">
        <v>91</v>
      </c>
      <c r="U430" t="s">
        <v>2216</v>
      </c>
      <c r="V430" s="2">
        <v>80.599999999999994</v>
      </c>
      <c r="W430" s="5">
        <f>Top_500_Movies_Ranked_by_Combined_Critics_and_Audience_Scores[[#This Row],[Critic_Rating_RT]]-Top_500_Movies_Ranked_by_Combined_Critics_and_Audience_Scores[[#This Row],[Audience_Rating]]</f>
        <v>82</v>
      </c>
      <c r="X430" s="5">
        <f>FLOOR(Top_500_Movies_Ranked_by_Combined_Critics_and_Audience_Scores[[#This Row],[Year]],10)</f>
        <v>2020</v>
      </c>
    </row>
    <row r="431" spans="1:24" x14ac:dyDescent="0.2">
      <c r="A431" s="3">
        <v>430</v>
      </c>
      <c r="B431" t="s">
        <v>4134</v>
      </c>
      <c r="C431" s="5">
        <v>2022</v>
      </c>
      <c r="D431" t="s">
        <v>4135</v>
      </c>
      <c r="E431" t="s">
        <v>1113</v>
      </c>
      <c r="F431" t="s">
        <v>50</v>
      </c>
      <c r="G431" t="s">
        <v>4317</v>
      </c>
      <c r="H431" t="s">
        <v>4317</v>
      </c>
      <c r="I431" s="5">
        <v>81</v>
      </c>
      <c r="J431" s="4">
        <v>7.6</v>
      </c>
      <c r="K431" s="5">
        <v>76</v>
      </c>
      <c r="L431" s="5">
        <v>52822</v>
      </c>
      <c r="M431" s="5">
        <v>77</v>
      </c>
      <c r="N431" s="5">
        <v>79</v>
      </c>
      <c r="O431" s="5">
        <v>82</v>
      </c>
      <c r="Q431" s="5">
        <v>98174</v>
      </c>
      <c r="R431" s="5">
        <v>76</v>
      </c>
      <c r="S431" s="5">
        <v>289215</v>
      </c>
      <c r="T431" s="5">
        <v>95</v>
      </c>
      <c r="U431" t="s">
        <v>885</v>
      </c>
      <c r="V431" s="2">
        <v>80.599999999999994</v>
      </c>
      <c r="W431" s="5">
        <f>Top_500_Movies_Ranked_by_Combined_Critics_and_Audience_Scores[[#This Row],[Critic_Rating_RT]]-Top_500_Movies_Ranked_by_Combined_Critics_and_Audience_Scores[[#This Row],[Audience_Rating]]</f>
        <v>79</v>
      </c>
      <c r="X431" s="5">
        <f>FLOOR(Top_500_Movies_Ranked_by_Combined_Critics_and_Audience_Scores[[#This Row],[Year]],10)</f>
        <v>2020</v>
      </c>
    </row>
    <row r="432" spans="1:24" x14ac:dyDescent="0.2">
      <c r="A432" s="3">
        <v>431</v>
      </c>
      <c r="B432" t="s">
        <v>4142</v>
      </c>
      <c r="C432" s="5">
        <v>2004</v>
      </c>
      <c r="D432" t="s">
        <v>126</v>
      </c>
      <c r="E432" t="s">
        <v>2204</v>
      </c>
      <c r="F432" t="s">
        <v>30</v>
      </c>
      <c r="G432" t="s">
        <v>4145</v>
      </c>
      <c r="H432" t="s">
        <v>2011</v>
      </c>
      <c r="I432" s="5">
        <v>81</v>
      </c>
      <c r="J432" s="4">
        <v>7.5</v>
      </c>
      <c r="K432" s="5">
        <v>75</v>
      </c>
      <c r="L432" s="5">
        <v>210213</v>
      </c>
      <c r="M432" s="5">
        <v>94</v>
      </c>
      <c r="N432" s="5">
        <v>88</v>
      </c>
      <c r="O432" s="5">
        <v>131</v>
      </c>
      <c r="P432" s="5">
        <v>77</v>
      </c>
      <c r="Q432" s="5">
        <v>179804</v>
      </c>
      <c r="R432" s="5">
        <v>76</v>
      </c>
      <c r="S432" s="5">
        <v>143413</v>
      </c>
      <c r="T432" s="5">
        <v>73</v>
      </c>
      <c r="U432" t="s">
        <v>4148</v>
      </c>
      <c r="V432" s="2">
        <v>80.5</v>
      </c>
      <c r="W432" s="5">
        <f>Top_500_Movies_Ranked_by_Combined_Critics_and_Audience_Scores[[#This Row],[Critic_Rating_RT]]-Top_500_Movies_Ranked_by_Combined_Critics_and_Audience_Scores[[#This Row],[Audience_Rating]]</f>
        <v>11</v>
      </c>
      <c r="X432" s="5">
        <f>FLOOR(Top_500_Movies_Ranked_by_Combined_Critics_and_Audience_Scores[[#This Row],[Year]],10)</f>
        <v>2000</v>
      </c>
    </row>
    <row r="433" spans="1:24" x14ac:dyDescent="0.2">
      <c r="A433" s="3">
        <v>432</v>
      </c>
      <c r="B433" t="s">
        <v>4152</v>
      </c>
      <c r="C433" s="5">
        <v>2004</v>
      </c>
      <c r="D433" t="s">
        <v>1304</v>
      </c>
      <c r="E433" t="s">
        <v>4153</v>
      </c>
      <c r="F433" t="s">
        <v>30</v>
      </c>
      <c r="G433" t="s">
        <v>4156</v>
      </c>
      <c r="H433" t="s">
        <v>203</v>
      </c>
      <c r="I433" s="5">
        <v>81</v>
      </c>
      <c r="J433" s="4">
        <v>7.5</v>
      </c>
      <c r="K433" s="5">
        <v>75</v>
      </c>
      <c r="L433" s="5">
        <v>741202</v>
      </c>
      <c r="M433" s="5">
        <v>83</v>
      </c>
      <c r="N433" s="5">
        <v>83</v>
      </c>
      <c r="O433" s="5">
        <v>177</v>
      </c>
      <c r="P433" s="5">
        <v>79</v>
      </c>
      <c r="Q433" s="5">
        <v>1259923</v>
      </c>
      <c r="R433" s="5">
        <v>78</v>
      </c>
      <c r="S433" s="5">
        <v>1475998</v>
      </c>
      <c r="T433" s="5">
        <v>85</v>
      </c>
      <c r="U433" t="s">
        <v>444</v>
      </c>
      <c r="V433" s="2">
        <v>80.5</v>
      </c>
      <c r="W433" s="5">
        <f>Top_500_Movies_Ranked_by_Combined_Critics_and_Audience_Scores[[#This Row],[Critic_Rating_RT]]-Top_500_Movies_Ranked_by_Combined_Critics_and_Audience_Scores[[#This Row],[Audience_Rating]]</f>
        <v>4</v>
      </c>
      <c r="X433" s="5">
        <f>FLOOR(Top_500_Movies_Ranked_by_Combined_Critics_and_Audience_Scores[[#This Row],[Year]],10)</f>
        <v>2000</v>
      </c>
    </row>
    <row r="434" spans="1:24" x14ac:dyDescent="0.2">
      <c r="A434" s="3">
        <v>433</v>
      </c>
      <c r="B434" t="s">
        <v>4160</v>
      </c>
      <c r="C434" s="5">
        <v>2018</v>
      </c>
      <c r="D434" t="s">
        <v>4161</v>
      </c>
      <c r="E434" t="s">
        <v>4162</v>
      </c>
      <c r="F434" t="s">
        <v>30</v>
      </c>
      <c r="G434" t="s">
        <v>4317</v>
      </c>
      <c r="H434" t="s">
        <v>4317</v>
      </c>
      <c r="I434" s="5">
        <v>81</v>
      </c>
      <c r="J434" s="4">
        <v>7.6</v>
      </c>
      <c r="K434" s="5">
        <v>76</v>
      </c>
      <c r="L434" s="5">
        <v>434467</v>
      </c>
      <c r="M434" s="5">
        <v>88</v>
      </c>
      <c r="N434" s="5">
        <v>83</v>
      </c>
      <c r="O434" s="5">
        <v>310</v>
      </c>
      <c r="P434" s="5">
        <v>78</v>
      </c>
      <c r="Q434" s="5">
        <v>302610</v>
      </c>
      <c r="R434" s="5">
        <v>72</v>
      </c>
      <c r="S434" s="5">
        <v>864619</v>
      </c>
      <c r="T434" s="5">
        <v>86</v>
      </c>
      <c r="U434" t="s">
        <v>75</v>
      </c>
      <c r="V434" s="2">
        <v>80.5</v>
      </c>
      <c r="W434" s="5">
        <f>Top_500_Movies_Ranked_by_Combined_Critics_and_Audience_Scores[[#This Row],[Critic_Rating_RT]]-Top_500_Movies_Ranked_by_Combined_Critics_and_Audience_Scores[[#This Row],[Audience_Rating]]</f>
        <v>5</v>
      </c>
      <c r="X434" s="5">
        <f>FLOOR(Top_500_Movies_Ranked_by_Combined_Critics_and_Audience_Scores[[#This Row],[Year]],10)</f>
        <v>2010</v>
      </c>
    </row>
    <row r="435" spans="1:24" x14ac:dyDescent="0.2">
      <c r="A435" s="3">
        <v>434</v>
      </c>
      <c r="B435" t="s">
        <v>4169</v>
      </c>
      <c r="C435" s="5">
        <v>2009</v>
      </c>
      <c r="D435" t="s">
        <v>3760</v>
      </c>
      <c r="E435" t="s">
        <v>1655</v>
      </c>
      <c r="F435" t="s">
        <v>374</v>
      </c>
      <c r="G435" t="s">
        <v>4172</v>
      </c>
      <c r="H435" t="s">
        <v>335</v>
      </c>
      <c r="I435" s="5">
        <v>81</v>
      </c>
      <c r="J435" s="4">
        <v>7.8</v>
      </c>
      <c r="K435" s="5">
        <v>78</v>
      </c>
      <c r="L435" s="5">
        <v>79534</v>
      </c>
      <c r="M435" s="5">
        <v>84</v>
      </c>
      <c r="N435" s="5">
        <v>79</v>
      </c>
      <c r="O435" s="5">
        <v>105</v>
      </c>
      <c r="P435" s="5">
        <v>78</v>
      </c>
      <c r="Q435" s="5">
        <v>83194</v>
      </c>
      <c r="R435" s="5">
        <v>84</v>
      </c>
      <c r="S435" s="5">
        <v>69426</v>
      </c>
      <c r="T435" s="5">
        <v>80</v>
      </c>
      <c r="U435" t="s">
        <v>75</v>
      </c>
      <c r="V435" s="2">
        <v>80.5</v>
      </c>
      <c r="W435" s="5">
        <f>Top_500_Movies_Ranked_by_Combined_Critics_and_Audience_Scores[[#This Row],[Critic_Rating_RT]]-Top_500_Movies_Ranked_by_Combined_Critics_and_Audience_Scores[[#This Row],[Audience_Rating]]</f>
        <v>1</v>
      </c>
      <c r="X435" s="5">
        <f>FLOOR(Top_500_Movies_Ranked_by_Combined_Critics_and_Audience_Scores[[#This Row],[Year]],10)</f>
        <v>2000</v>
      </c>
    </row>
    <row r="436" spans="1:24" x14ac:dyDescent="0.2">
      <c r="A436" s="3">
        <v>435</v>
      </c>
      <c r="B436" t="s">
        <v>4177</v>
      </c>
      <c r="C436" s="5">
        <v>2022</v>
      </c>
      <c r="D436" t="s">
        <v>47</v>
      </c>
      <c r="E436" t="s">
        <v>4178</v>
      </c>
      <c r="F436" t="s">
        <v>30</v>
      </c>
      <c r="G436" t="s">
        <v>4317</v>
      </c>
      <c r="H436" t="s">
        <v>4317</v>
      </c>
      <c r="I436" s="5">
        <v>81</v>
      </c>
      <c r="J436" s="4">
        <v>8.1999999999999993</v>
      </c>
      <c r="K436" s="5">
        <v>82</v>
      </c>
      <c r="L436" s="5">
        <v>768986</v>
      </c>
      <c r="M436" s="5">
        <v>78</v>
      </c>
      <c r="N436" s="5">
        <v>81</v>
      </c>
      <c r="O436" s="5">
        <v>279</v>
      </c>
      <c r="Q436" s="5">
        <v>587898</v>
      </c>
      <c r="R436" s="5">
        <v>80</v>
      </c>
      <c r="S436" s="5">
        <v>1581141</v>
      </c>
      <c r="T436" s="5">
        <v>81</v>
      </c>
      <c r="U436" t="s">
        <v>4183</v>
      </c>
      <c r="V436" s="2">
        <v>80.400000000000006</v>
      </c>
      <c r="W436" s="5">
        <f>Top_500_Movies_Ranked_by_Combined_Critics_and_Audience_Scores[[#This Row],[Critic_Rating_RT]]-Top_500_Movies_Ranked_by_Combined_Critics_and_Audience_Scores[[#This Row],[Audience_Rating]]</f>
        <v>81</v>
      </c>
      <c r="X436" s="5">
        <f>FLOOR(Top_500_Movies_Ranked_by_Combined_Critics_and_Audience_Scores[[#This Row],[Year]],10)</f>
        <v>2020</v>
      </c>
    </row>
    <row r="437" spans="1:24" x14ac:dyDescent="0.2">
      <c r="A437" s="3">
        <v>436</v>
      </c>
      <c r="B437" t="s">
        <v>4187</v>
      </c>
      <c r="C437" s="5">
        <v>1986</v>
      </c>
      <c r="D437" t="s">
        <v>548</v>
      </c>
      <c r="E437" t="s">
        <v>4188</v>
      </c>
      <c r="F437" t="s">
        <v>30</v>
      </c>
      <c r="G437" t="s">
        <v>4191</v>
      </c>
      <c r="H437" t="s">
        <v>4192</v>
      </c>
      <c r="I437" s="5">
        <v>81</v>
      </c>
      <c r="J437" s="4">
        <v>7.6</v>
      </c>
      <c r="K437" s="5">
        <v>76</v>
      </c>
      <c r="L437" s="5">
        <v>213160</v>
      </c>
      <c r="M437" s="5">
        <v>81</v>
      </c>
      <c r="N437" s="5">
        <v>83</v>
      </c>
      <c r="O437" s="5">
        <v>71</v>
      </c>
      <c r="P437" s="5">
        <v>80</v>
      </c>
      <c r="Q437" s="5">
        <v>192023</v>
      </c>
      <c r="R437" s="5">
        <v>80</v>
      </c>
      <c r="S437" s="5">
        <v>395137</v>
      </c>
      <c r="T437" s="5">
        <v>82</v>
      </c>
      <c r="U437" t="s">
        <v>135</v>
      </c>
      <c r="V437" s="2">
        <v>80.33</v>
      </c>
      <c r="W437" s="5">
        <f>Top_500_Movies_Ranked_by_Combined_Critics_and_Audience_Scores[[#This Row],[Critic_Rating_RT]]-Top_500_Movies_Ranked_by_Combined_Critics_and_Audience_Scores[[#This Row],[Audience_Rating]]</f>
        <v>3</v>
      </c>
      <c r="X437" s="5">
        <f>FLOOR(Top_500_Movies_Ranked_by_Combined_Critics_and_Audience_Scores[[#This Row],[Year]],10)</f>
        <v>1980</v>
      </c>
    </row>
    <row r="438" spans="1:24" x14ac:dyDescent="0.2">
      <c r="A438" s="3">
        <v>437</v>
      </c>
      <c r="B438" t="s">
        <v>4198</v>
      </c>
      <c r="C438" s="5">
        <v>2014</v>
      </c>
      <c r="D438" t="s">
        <v>3117</v>
      </c>
      <c r="E438" t="s">
        <v>4329</v>
      </c>
      <c r="F438" t="s">
        <v>30</v>
      </c>
      <c r="G438" t="s">
        <v>4201</v>
      </c>
      <c r="H438" t="s">
        <v>1462</v>
      </c>
      <c r="I438" s="5">
        <v>81</v>
      </c>
      <c r="J438" s="4">
        <v>7.7</v>
      </c>
      <c r="K438" s="5">
        <v>77</v>
      </c>
      <c r="L438" s="5">
        <v>680540</v>
      </c>
      <c r="M438" s="5">
        <v>87</v>
      </c>
      <c r="N438" s="5">
        <v>86</v>
      </c>
      <c r="O438" s="5">
        <v>256</v>
      </c>
      <c r="P438" s="5">
        <v>76</v>
      </c>
      <c r="Q438" s="5">
        <v>378073</v>
      </c>
      <c r="R438" s="5">
        <v>80</v>
      </c>
      <c r="S438" s="5">
        <v>946005</v>
      </c>
      <c r="T438" s="5">
        <v>76</v>
      </c>
      <c r="U438" t="s">
        <v>75</v>
      </c>
      <c r="V438" s="2">
        <v>80.33</v>
      </c>
      <c r="W438" s="5">
        <f>Top_500_Movies_Ranked_by_Combined_Critics_and_Audience_Scores[[#This Row],[Critic_Rating_RT]]-Top_500_Movies_Ranked_by_Combined_Critics_and_Audience_Scores[[#This Row],[Audience_Rating]]</f>
        <v>10</v>
      </c>
      <c r="X438" s="5">
        <f>FLOOR(Top_500_Movies_Ranked_by_Combined_Critics_and_Audience_Scores[[#This Row],[Year]],10)</f>
        <v>2010</v>
      </c>
    </row>
    <row r="439" spans="1:24" x14ac:dyDescent="0.2">
      <c r="A439" s="3">
        <v>438</v>
      </c>
      <c r="B439" t="s">
        <v>4206</v>
      </c>
      <c r="C439" s="5">
        <v>2013</v>
      </c>
      <c r="D439" t="s">
        <v>65</v>
      </c>
      <c r="E439" t="s">
        <v>4335</v>
      </c>
      <c r="F439" t="s">
        <v>3399</v>
      </c>
      <c r="G439" t="s">
        <v>4209</v>
      </c>
      <c r="H439" t="s">
        <v>4210</v>
      </c>
      <c r="I439" s="5">
        <v>80</v>
      </c>
      <c r="J439" s="4">
        <v>7.4</v>
      </c>
      <c r="K439" s="5">
        <v>74</v>
      </c>
      <c r="L439" s="5">
        <v>61864</v>
      </c>
      <c r="M439" s="5">
        <v>91</v>
      </c>
      <c r="N439" s="5">
        <v>86</v>
      </c>
      <c r="O439" s="5">
        <v>129</v>
      </c>
      <c r="P439" s="5">
        <v>77</v>
      </c>
      <c r="Q439" s="5">
        <v>39105</v>
      </c>
      <c r="R439" s="5">
        <v>80</v>
      </c>
      <c r="S439" s="5">
        <v>81214</v>
      </c>
      <c r="T439" s="5">
        <v>73</v>
      </c>
      <c r="U439" t="s">
        <v>4213</v>
      </c>
      <c r="V439" s="2">
        <v>80.17</v>
      </c>
      <c r="W439" s="5">
        <f>Top_500_Movies_Ranked_by_Combined_Critics_and_Audience_Scores[[#This Row],[Critic_Rating_RT]]-Top_500_Movies_Ranked_by_Combined_Critics_and_Audience_Scores[[#This Row],[Audience_Rating]]</f>
        <v>9</v>
      </c>
      <c r="X439" s="5">
        <f>FLOOR(Top_500_Movies_Ranked_by_Combined_Critics_and_Audience_Scores[[#This Row],[Year]],10)</f>
        <v>2010</v>
      </c>
    </row>
    <row r="440" spans="1:24" x14ac:dyDescent="0.2">
      <c r="A440" s="3">
        <v>439</v>
      </c>
      <c r="B440" t="s">
        <v>4217</v>
      </c>
      <c r="C440" s="5">
        <v>2012</v>
      </c>
      <c r="D440" t="s">
        <v>992</v>
      </c>
      <c r="E440" t="s">
        <v>1585</v>
      </c>
      <c r="F440" t="s">
        <v>30</v>
      </c>
      <c r="G440" t="s">
        <v>4220</v>
      </c>
      <c r="H440" t="s">
        <v>1260</v>
      </c>
      <c r="I440" s="5">
        <v>81</v>
      </c>
      <c r="J440" s="4">
        <v>7.4</v>
      </c>
      <c r="K440" s="5">
        <v>74</v>
      </c>
      <c r="L440" s="5">
        <v>98119</v>
      </c>
      <c r="M440" s="5">
        <v>82</v>
      </c>
      <c r="N440" s="5">
        <v>79</v>
      </c>
      <c r="O440" s="5">
        <v>142</v>
      </c>
      <c r="P440" s="5">
        <v>76</v>
      </c>
      <c r="Q440" s="5">
        <v>183802</v>
      </c>
      <c r="R440" s="5">
        <v>80</v>
      </c>
      <c r="S440" s="5">
        <v>510614</v>
      </c>
      <c r="T440" s="5">
        <v>90</v>
      </c>
      <c r="U440" t="s">
        <v>916</v>
      </c>
      <c r="V440" s="2">
        <v>80.17</v>
      </c>
      <c r="W440" s="5">
        <f>Top_500_Movies_Ranked_by_Combined_Critics_and_Audience_Scores[[#This Row],[Critic_Rating_RT]]-Top_500_Movies_Ranked_by_Combined_Critics_and_Audience_Scores[[#This Row],[Audience_Rating]]</f>
        <v>3</v>
      </c>
      <c r="X440" s="5">
        <f>FLOOR(Top_500_Movies_Ranked_by_Combined_Critics_and_Audience_Scores[[#This Row],[Year]],10)</f>
        <v>2010</v>
      </c>
    </row>
    <row r="441" spans="1:24" x14ac:dyDescent="0.2">
      <c r="A441" s="3">
        <v>440</v>
      </c>
      <c r="B441" t="s">
        <v>4225</v>
      </c>
      <c r="C441" s="5">
        <v>2017</v>
      </c>
      <c r="D441" t="s">
        <v>4226</v>
      </c>
      <c r="E441" t="s">
        <v>4227</v>
      </c>
      <c r="F441" t="s">
        <v>30</v>
      </c>
      <c r="G441" t="s">
        <v>4317</v>
      </c>
      <c r="H441" t="s">
        <v>4317</v>
      </c>
      <c r="I441" s="5">
        <v>80</v>
      </c>
      <c r="J441" s="4">
        <v>7.3</v>
      </c>
      <c r="K441" s="5">
        <v>73</v>
      </c>
      <c r="L441" s="5">
        <v>119568</v>
      </c>
      <c r="M441" s="5">
        <v>88</v>
      </c>
      <c r="N441" s="5">
        <v>82</v>
      </c>
      <c r="O441" s="5">
        <v>154</v>
      </c>
      <c r="P441" s="5">
        <v>76</v>
      </c>
      <c r="Q441" s="5">
        <v>79907</v>
      </c>
      <c r="R441" s="5">
        <v>76</v>
      </c>
      <c r="S441" s="5">
        <v>225921</v>
      </c>
      <c r="T441" s="5">
        <v>85</v>
      </c>
      <c r="U441" t="s">
        <v>4232</v>
      </c>
      <c r="V441" s="2">
        <v>80</v>
      </c>
      <c r="W441" s="5">
        <f>Top_500_Movies_Ranked_by_Combined_Critics_and_Audience_Scores[[#This Row],[Critic_Rating_RT]]-Top_500_Movies_Ranked_by_Combined_Critics_and_Audience_Scores[[#This Row],[Audience_Rating]]</f>
        <v>6</v>
      </c>
      <c r="X441" s="5">
        <f>FLOOR(Top_500_Movies_Ranked_by_Combined_Critics_and_Audience_Scores[[#This Row],[Year]],10)</f>
        <v>2010</v>
      </c>
    </row>
    <row r="442" spans="1:24" x14ac:dyDescent="0.2">
      <c r="A442" s="3">
        <v>441</v>
      </c>
      <c r="B442" t="s">
        <v>4235</v>
      </c>
      <c r="C442" s="5">
        <v>2015</v>
      </c>
      <c r="D442" t="s">
        <v>4236</v>
      </c>
      <c r="E442" t="s">
        <v>4340</v>
      </c>
      <c r="F442" t="s">
        <v>4239</v>
      </c>
      <c r="G442" t="s">
        <v>4241</v>
      </c>
      <c r="H442" t="s">
        <v>335</v>
      </c>
      <c r="I442" s="5">
        <v>80</v>
      </c>
      <c r="J442" s="4">
        <v>7.4</v>
      </c>
      <c r="K442" s="5">
        <v>74</v>
      </c>
      <c r="L442" s="5">
        <v>53176</v>
      </c>
      <c r="M442" s="5">
        <v>91</v>
      </c>
      <c r="N442" s="5">
        <v>90</v>
      </c>
      <c r="O442" s="5">
        <v>157</v>
      </c>
      <c r="P442" s="5">
        <v>77</v>
      </c>
      <c r="Q442" s="5">
        <v>26403</v>
      </c>
      <c r="R442" s="5">
        <v>82</v>
      </c>
      <c r="S442" s="5">
        <v>53092</v>
      </c>
      <c r="T442" s="5">
        <v>66</v>
      </c>
      <c r="U442" t="s">
        <v>75</v>
      </c>
      <c r="V442" s="2">
        <v>80</v>
      </c>
      <c r="W442" s="5">
        <f>Top_500_Movies_Ranked_by_Combined_Critics_and_Audience_Scores[[#This Row],[Critic_Rating_RT]]-Top_500_Movies_Ranked_by_Combined_Critics_and_Audience_Scores[[#This Row],[Audience_Rating]]</f>
        <v>13</v>
      </c>
      <c r="X442" s="5">
        <f>FLOOR(Top_500_Movies_Ranked_by_Combined_Critics_and_Audience_Scores[[#This Row],[Year]],10)</f>
        <v>2010</v>
      </c>
    </row>
    <row r="443" spans="1:24" x14ac:dyDescent="0.2">
      <c r="A443" s="3">
        <v>442</v>
      </c>
      <c r="B443" t="s">
        <v>4247</v>
      </c>
      <c r="C443" s="5">
        <v>1931</v>
      </c>
      <c r="D443" t="s">
        <v>764</v>
      </c>
      <c r="E443" t="s">
        <v>372</v>
      </c>
      <c r="F443" t="s">
        <v>374</v>
      </c>
      <c r="G443" t="s">
        <v>4250</v>
      </c>
      <c r="H443" t="s">
        <v>4251</v>
      </c>
      <c r="I443" s="5">
        <v>87</v>
      </c>
      <c r="J443" s="4">
        <v>8.3000000000000007</v>
      </c>
      <c r="K443" s="5">
        <v>83</v>
      </c>
      <c r="L443" s="5">
        <v>175896</v>
      </c>
      <c r="N443" s="5">
        <v>94</v>
      </c>
      <c r="O443" s="5">
        <v>55</v>
      </c>
      <c r="P443" s="5">
        <v>91</v>
      </c>
      <c r="Q443" s="5">
        <v>80258</v>
      </c>
      <c r="R443" s="5">
        <v>86</v>
      </c>
      <c r="S443" s="5">
        <v>168051</v>
      </c>
      <c r="T443" s="5">
        <v>46</v>
      </c>
      <c r="U443" t="s">
        <v>135</v>
      </c>
      <c r="V443" s="2">
        <v>80</v>
      </c>
      <c r="W443" s="5">
        <f>Top_500_Movies_Ranked_by_Combined_Critics_and_Audience_Scores[[#This Row],[Critic_Rating_RT]]-Top_500_Movies_Ranked_by_Combined_Critics_and_Audience_Scores[[#This Row],[Audience_Rating]]</f>
        <v>3</v>
      </c>
      <c r="X443" s="5">
        <f>FLOOR(Top_500_Movies_Ranked_by_Combined_Critics_and_Audience_Scores[[#This Row],[Year]],10)</f>
        <v>1930</v>
      </c>
    </row>
    <row r="444" spans="1:24" x14ac:dyDescent="0.2">
      <c r="A444" s="3">
        <v>443</v>
      </c>
      <c r="B444" t="s">
        <v>4257</v>
      </c>
      <c r="C444" s="5">
        <v>2003</v>
      </c>
      <c r="D444" t="s">
        <v>3977</v>
      </c>
      <c r="E444" t="s">
        <v>114</v>
      </c>
      <c r="F444" t="s">
        <v>30</v>
      </c>
      <c r="G444" t="s">
        <v>4260</v>
      </c>
      <c r="H444" t="s">
        <v>118</v>
      </c>
      <c r="I444" s="5">
        <v>80</v>
      </c>
      <c r="J444" s="4">
        <v>8.1999999999999993</v>
      </c>
      <c r="K444" s="5">
        <v>82</v>
      </c>
      <c r="L444" s="5">
        <v>1243483</v>
      </c>
      <c r="M444" s="5">
        <v>69</v>
      </c>
      <c r="N444" s="5">
        <v>75</v>
      </c>
      <c r="O444" s="5">
        <v>136</v>
      </c>
      <c r="P444" s="5">
        <v>80</v>
      </c>
      <c r="Q444" s="5">
        <v>22372068</v>
      </c>
      <c r="R444" s="5">
        <v>84</v>
      </c>
      <c r="S444" s="5">
        <v>2000199</v>
      </c>
      <c r="T444" s="5">
        <v>90</v>
      </c>
      <c r="U444" t="s">
        <v>75</v>
      </c>
      <c r="V444" s="2">
        <v>80</v>
      </c>
      <c r="W444" s="5">
        <f>Top_500_Movies_Ranked_by_Combined_Critics_and_Audience_Scores[[#This Row],[Critic_Rating_RT]]-Top_500_Movies_Ranked_by_Combined_Critics_and_Audience_Scores[[#This Row],[Audience_Rating]]</f>
        <v>-5</v>
      </c>
      <c r="X444" s="5">
        <f>FLOOR(Top_500_Movies_Ranked_by_Combined_Critics_and_Audience_Scores[[#This Row],[Year]],10)</f>
        <v>2000</v>
      </c>
    </row>
    <row r="445" spans="1:24" x14ac:dyDescent="0.2">
      <c r="A445" s="3">
        <v>444</v>
      </c>
      <c r="B445" t="s">
        <v>4265</v>
      </c>
      <c r="C445" s="5">
        <v>1942</v>
      </c>
      <c r="D445" t="s">
        <v>4266</v>
      </c>
      <c r="E445" t="s">
        <v>4267</v>
      </c>
      <c r="F445" t="s">
        <v>30</v>
      </c>
      <c r="G445" t="s">
        <v>796</v>
      </c>
      <c r="H445" t="s">
        <v>2189</v>
      </c>
      <c r="I445" s="5">
        <v>81</v>
      </c>
      <c r="J445" s="4">
        <v>7.2</v>
      </c>
      <c r="K445" s="5">
        <v>72</v>
      </c>
      <c r="L445" s="5">
        <v>27231</v>
      </c>
      <c r="M445" s="5">
        <v>85</v>
      </c>
      <c r="N445" s="5">
        <v>84</v>
      </c>
      <c r="O445" s="5">
        <v>59</v>
      </c>
      <c r="P445" s="5">
        <v>72</v>
      </c>
      <c r="Q445" s="5">
        <v>27875</v>
      </c>
      <c r="R445" s="5">
        <v>74</v>
      </c>
      <c r="S445" s="5">
        <v>67874</v>
      </c>
      <c r="T445" s="5">
        <v>89</v>
      </c>
      <c r="U445" t="s">
        <v>1573</v>
      </c>
      <c r="V445" s="2">
        <v>79.33</v>
      </c>
      <c r="W445" s="5">
        <f>Top_500_Movies_Ranked_by_Combined_Critics_and_Audience_Scores[[#This Row],[Critic_Rating_RT]]-Top_500_Movies_Ranked_by_Combined_Critics_and_Audience_Scores[[#This Row],[Audience_Rating]]</f>
        <v>12</v>
      </c>
      <c r="X445" s="5">
        <f>FLOOR(Top_500_Movies_Ranked_by_Combined_Critics_and_Audience_Scores[[#This Row],[Year]],10)</f>
        <v>1940</v>
      </c>
    </row>
    <row r="446" spans="1:24" x14ac:dyDescent="0.2">
      <c r="A446" s="3">
        <v>445</v>
      </c>
      <c r="B446" t="s">
        <v>4275</v>
      </c>
      <c r="C446" s="5">
        <v>1976</v>
      </c>
      <c r="D446" t="s">
        <v>65</v>
      </c>
      <c r="E446" t="s">
        <v>4276</v>
      </c>
      <c r="F446" t="s">
        <v>30</v>
      </c>
      <c r="G446" t="s">
        <v>4279</v>
      </c>
      <c r="H446" t="s">
        <v>167</v>
      </c>
      <c r="I446" s="5">
        <v>82</v>
      </c>
      <c r="J446" s="4">
        <v>8.1</v>
      </c>
      <c r="K446" s="5">
        <v>81</v>
      </c>
      <c r="L446" s="5">
        <v>655553</v>
      </c>
      <c r="M446" s="5">
        <v>70</v>
      </c>
      <c r="N446" s="5">
        <v>81</v>
      </c>
      <c r="O446" s="5">
        <v>59</v>
      </c>
      <c r="P446" s="5">
        <v>71</v>
      </c>
      <c r="Q446" s="5">
        <v>22486658</v>
      </c>
      <c r="R446" s="5">
        <v>82</v>
      </c>
      <c r="S446" s="5">
        <v>651986</v>
      </c>
      <c r="T446" s="5">
        <v>90</v>
      </c>
      <c r="U446" t="s">
        <v>75</v>
      </c>
      <c r="V446" s="2">
        <v>79.17</v>
      </c>
      <c r="W446" s="5">
        <f>Top_500_Movies_Ranked_by_Combined_Critics_and_Audience_Scores[[#This Row],[Critic_Rating_RT]]-Top_500_Movies_Ranked_by_Combined_Critics_and_Audience_Scores[[#This Row],[Audience_Rating]]</f>
        <v>10</v>
      </c>
      <c r="X446" s="5">
        <f>FLOOR(Top_500_Movies_Ranked_by_Combined_Critics_and_Audience_Scores[[#This Row],[Year]],10)</f>
        <v>1970</v>
      </c>
    </row>
    <row r="447" spans="1:24" x14ac:dyDescent="0.2">
      <c r="A447" s="3">
        <v>446</v>
      </c>
      <c r="B447" t="s">
        <v>4285</v>
      </c>
      <c r="C447" s="5">
        <v>2017</v>
      </c>
      <c r="D447" t="s">
        <v>211</v>
      </c>
      <c r="E447" t="s">
        <v>342</v>
      </c>
      <c r="F447" t="s">
        <v>30</v>
      </c>
      <c r="G447" t="s">
        <v>4317</v>
      </c>
      <c r="H447" t="s">
        <v>4317</v>
      </c>
      <c r="I447" s="5">
        <v>81</v>
      </c>
      <c r="J447" s="4">
        <v>7.4</v>
      </c>
      <c r="K447" s="5">
        <v>74</v>
      </c>
      <c r="L447" s="5">
        <v>151144</v>
      </c>
      <c r="M447" s="5">
        <v>90</v>
      </c>
      <c r="N447" s="5">
        <v>86</v>
      </c>
      <c r="O447" s="5">
        <v>235</v>
      </c>
      <c r="P447" s="5">
        <v>71</v>
      </c>
      <c r="Q447" s="5">
        <v>158555</v>
      </c>
      <c r="R447" s="5">
        <v>82</v>
      </c>
      <c r="S447" s="5">
        <v>459029</v>
      </c>
      <c r="T447" s="5">
        <v>72</v>
      </c>
      <c r="U447" t="s">
        <v>75</v>
      </c>
      <c r="V447" s="2">
        <v>79.17</v>
      </c>
      <c r="W447" s="5">
        <f>Top_500_Movies_Ranked_by_Combined_Critics_and_Audience_Scores[[#This Row],[Critic_Rating_RT]]-Top_500_Movies_Ranked_by_Combined_Critics_and_Audience_Scores[[#This Row],[Audience_Rating]]</f>
        <v>15</v>
      </c>
      <c r="X447" s="5">
        <f>FLOOR(Top_500_Movies_Ranked_by_Combined_Critics_and_Audience_Scores[[#This Row],[Year]],10)</f>
        <v>2010</v>
      </c>
    </row>
    <row r="448" spans="1:24" x14ac:dyDescent="0.2">
      <c r="A448" s="3">
        <v>447</v>
      </c>
      <c r="B448" t="s">
        <v>4292</v>
      </c>
      <c r="C448" s="5">
        <v>2016</v>
      </c>
      <c r="D448" t="s">
        <v>3043</v>
      </c>
      <c r="E448" t="s">
        <v>4293</v>
      </c>
      <c r="F448" t="s">
        <v>30</v>
      </c>
      <c r="G448" t="s">
        <v>4317</v>
      </c>
      <c r="H448" t="s">
        <v>4317</v>
      </c>
      <c r="I448" s="5">
        <v>81</v>
      </c>
      <c r="J448" s="4">
        <v>7.3</v>
      </c>
      <c r="K448" s="5">
        <v>73</v>
      </c>
      <c r="L448" s="5">
        <v>91854</v>
      </c>
      <c r="M448" s="5">
        <v>90</v>
      </c>
      <c r="N448" s="5">
        <v>86</v>
      </c>
      <c r="O448" s="5">
        <v>177</v>
      </c>
      <c r="P448" s="5">
        <v>71</v>
      </c>
      <c r="Q448" s="5">
        <v>74548</v>
      </c>
      <c r="R448" s="5">
        <v>78</v>
      </c>
      <c r="S448" s="5">
        <v>190980</v>
      </c>
      <c r="T448" s="5">
        <v>77</v>
      </c>
      <c r="U448" t="s">
        <v>2216</v>
      </c>
      <c r="V448" s="2">
        <v>79.17</v>
      </c>
      <c r="W448" s="5">
        <f>Top_500_Movies_Ranked_by_Combined_Critics_and_Audience_Scores[[#This Row],[Critic_Rating_RT]]-Top_500_Movies_Ranked_by_Combined_Critics_and_Audience_Scores[[#This Row],[Audience_Rating]]</f>
        <v>15</v>
      </c>
      <c r="X448" s="5">
        <f>FLOOR(Top_500_Movies_Ranked_by_Combined_Critics_and_Audience_Scores[[#This Row],[Year]],10)</f>
        <v>2010</v>
      </c>
    </row>
    <row r="449" spans="1:24" x14ac:dyDescent="0.2">
      <c r="A449" s="3">
        <v>448</v>
      </c>
      <c r="B449" t="s">
        <v>4300</v>
      </c>
      <c r="C449" s="5">
        <v>1997</v>
      </c>
      <c r="D449" t="s">
        <v>211</v>
      </c>
      <c r="E449" t="s">
        <v>1032</v>
      </c>
      <c r="F449" t="s">
        <v>30</v>
      </c>
      <c r="G449" t="s">
        <v>4303</v>
      </c>
      <c r="H449" t="s">
        <v>33</v>
      </c>
      <c r="I449" s="5">
        <v>81</v>
      </c>
      <c r="J449" s="4">
        <v>7.9</v>
      </c>
      <c r="K449" s="5">
        <v>79</v>
      </c>
      <c r="L449" s="5">
        <v>1331693</v>
      </c>
      <c r="M449" s="5">
        <v>75</v>
      </c>
      <c r="N449" s="5">
        <v>80</v>
      </c>
      <c r="O449" s="5">
        <v>147</v>
      </c>
      <c r="P449" s="5">
        <v>71</v>
      </c>
      <c r="Q449" s="5">
        <v>24549197</v>
      </c>
      <c r="R449" s="5">
        <v>76</v>
      </c>
      <c r="S449" s="5">
        <v>2052322</v>
      </c>
      <c r="T449" s="5">
        <v>93</v>
      </c>
      <c r="U449" t="s">
        <v>42</v>
      </c>
      <c r="V449" s="2">
        <v>79</v>
      </c>
      <c r="W449" s="5">
        <f>Top_500_Movies_Ranked_by_Combined_Critics_and_Audience_Scores[[#This Row],[Critic_Rating_RT]]-Top_500_Movies_Ranked_by_Combined_Critics_and_Audience_Scores[[#This Row],[Audience_Rating]]</f>
        <v>9</v>
      </c>
      <c r="X449" s="5">
        <f>FLOOR(Top_500_Movies_Ranked_by_Combined_Critics_and_Audience_Scores[[#This Row],[Year]],10)</f>
        <v>1990</v>
      </c>
    </row>
    <row r="450" spans="1:24" x14ac:dyDescent="0.2">
      <c r="A450" s="3">
        <v>449</v>
      </c>
      <c r="B450" t="s">
        <v>4308</v>
      </c>
      <c r="C450" s="5">
        <v>2019</v>
      </c>
      <c r="D450" t="s">
        <v>764</v>
      </c>
      <c r="E450" t="s">
        <v>4309</v>
      </c>
      <c r="F450" t="s">
        <v>30</v>
      </c>
      <c r="G450" t="s">
        <v>4317</v>
      </c>
      <c r="H450" t="s">
        <v>4317</v>
      </c>
      <c r="I450" s="5">
        <v>81</v>
      </c>
      <c r="J450" s="4">
        <v>7.4</v>
      </c>
      <c r="K450" s="5">
        <v>74</v>
      </c>
      <c r="L450" s="5">
        <v>333224</v>
      </c>
      <c r="M450" s="5">
        <v>93</v>
      </c>
      <c r="N450" s="5">
        <v>86</v>
      </c>
      <c r="O450" s="5">
        <v>204</v>
      </c>
      <c r="P450" s="5">
        <v>57</v>
      </c>
      <c r="Q450" s="5">
        <v>438510</v>
      </c>
      <c r="R450" s="5">
        <v>78</v>
      </c>
      <c r="S450" s="5">
        <v>1265981</v>
      </c>
      <c r="T450" s="5">
        <v>74</v>
      </c>
      <c r="U450" t="s">
        <v>1186</v>
      </c>
      <c r="V450" s="2">
        <v>77</v>
      </c>
      <c r="W450" s="5">
        <f>Top_500_Movies_Ranked_by_Combined_Critics_and_Audience_Scores[[#This Row],[Critic_Rating_RT]]-Top_500_Movies_Ranked_by_Combined_Critics_and_Audience_Scores[[#This Row],[Audience_Rating]]</f>
        <v>29</v>
      </c>
      <c r="X450" s="5">
        <f>FLOOR(Top_500_Movies_Ranked_by_Combined_Critics_and_Audience_Scores[[#This Row],[Year]],10)</f>
        <v>2010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CEA1-66EB-BC44-9312-4CCBFFD76419}">
  <dimension ref="A1:C47"/>
  <sheetViews>
    <sheetView topLeftCell="A8" zoomScale="89" zoomScaleNormal="89" workbookViewId="0">
      <selection activeCell="R23" sqref="R23"/>
    </sheetView>
  </sheetViews>
  <sheetFormatPr baseColWidth="10" defaultRowHeight="16" x14ac:dyDescent="0.2"/>
  <cols>
    <col min="1" max="1" width="27.6640625" bestFit="1" customWidth="1"/>
    <col min="2" max="2" width="12.6640625" bestFit="1" customWidth="1"/>
    <col min="3" max="3" width="21.5" bestFit="1" customWidth="1"/>
  </cols>
  <sheetData>
    <row r="1" spans="1:3" x14ac:dyDescent="0.2">
      <c r="A1" s="20" t="s">
        <v>4341</v>
      </c>
      <c r="B1" s="20"/>
      <c r="C1" s="20"/>
    </row>
    <row r="2" spans="1:3" x14ac:dyDescent="0.2">
      <c r="A2" s="20"/>
      <c r="B2" s="20"/>
      <c r="C2" s="20"/>
    </row>
    <row r="3" spans="1:3" x14ac:dyDescent="0.2">
      <c r="A3" s="14" t="s">
        <v>4344</v>
      </c>
      <c r="B3" s="26">
        <f>COUNTA(' Clean_data'!B:B)</f>
        <v>450</v>
      </c>
      <c r="C3" s="26"/>
    </row>
    <row r="4" spans="1:3" x14ac:dyDescent="0.2">
      <c r="A4" s="14" t="s">
        <v>4342</v>
      </c>
      <c r="B4" s="21">
        <f>AVERAGE(' Clean_data'!J:J)</f>
        <v>7.9694877505567963</v>
      </c>
      <c r="C4" s="21"/>
    </row>
    <row r="5" spans="1:3" x14ac:dyDescent="0.2">
      <c r="A5" s="8" t="s">
        <v>4345</v>
      </c>
      <c r="B5" s="28">
        <f>MAX(' Clean_data'!J:J)</f>
        <v>9.1999999999999993</v>
      </c>
      <c r="C5" s="28"/>
    </row>
    <row r="6" spans="1:3" x14ac:dyDescent="0.2">
      <c r="A6" s="9" t="s">
        <v>4346</v>
      </c>
      <c r="B6" s="27">
        <f>MIN(' Clean_data'!J:J)</f>
        <v>7.1</v>
      </c>
      <c r="C6" s="27"/>
    </row>
    <row r="7" spans="1:3" x14ac:dyDescent="0.2">
      <c r="A7" s="14" t="s">
        <v>4343</v>
      </c>
      <c r="B7" s="21">
        <f>AVERAGE(' Clean_data'!M:M)</f>
        <v>86.754587155963307</v>
      </c>
      <c r="C7" s="21"/>
    </row>
    <row r="10" spans="1:3" x14ac:dyDescent="0.2">
      <c r="A10" s="16" t="s">
        <v>4347</v>
      </c>
      <c r="B10" s="17" t="s">
        <v>4355</v>
      </c>
      <c r="C10" s="16" t="s">
        <v>4354</v>
      </c>
    </row>
    <row r="11" spans="1:3" x14ac:dyDescent="0.2">
      <c r="A11" s="6" t="s">
        <v>65</v>
      </c>
      <c r="B11" s="6">
        <f>COUNTIF(' Clean_data'!D:D,"*Drama*")</f>
        <v>297</v>
      </c>
      <c r="C11" s="11">
        <f>AVERAGEIF(' Clean_data'!D:D,"*Drama*",' Clean_data'!J:J)</f>
        <v>7.9424242424242424</v>
      </c>
    </row>
    <row r="12" spans="1:3" x14ac:dyDescent="0.2">
      <c r="A12" s="6" t="s">
        <v>4348</v>
      </c>
      <c r="B12" s="6">
        <f>COUNTIF(' Clean_data'!D:D,"*Crime*")</f>
        <v>68</v>
      </c>
      <c r="C12" s="11">
        <f>AVERAGEIF(' Clean_data'!D:D,"*Crime*",' Clean_data'!J:J)</f>
        <v>8.0117647058823547</v>
      </c>
    </row>
    <row r="13" spans="1:3" x14ac:dyDescent="0.2">
      <c r="A13" s="6" t="s">
        <v>1684</v>
      </c>
      <c r="B13" s="6">
        <f>COUNTIF(' Clean_data'!D:D,"*Comedy*")</f>
        <v>88</v>
      </c>
      <c r="C13" s="11">
        <f>AVERAGEIF(' Clean_data'!D:D,"*Comedy*",' Clean_data'!J:J)</f>
        <v>7.8772727272727261</v>
      </c>
    </row>
    <row r="14" spans="1:3" x14ac:dyDescent="0.2">
      <c r="A14" s="6" t="s">
        <v>4349</v>
      </c>
      <c r="B14" s="6">
        <f>COUNTIF(' Clean_data'!D:D,"*Thriller*")</f>
        <v>92</v>
      </c>
      <c r="C14" s="11">
        <f>AVERAGEIF(' Clean_data'!D:D,"*Thriller*",' Clean_data'!J:J)</f>
        <v>7.9706521739130407</v>
      </c>
    </row>
    <row r="15" spans="1:3" x14ac:dyDescent="0.2">
      <c r="A15" s="6" t="s">
        <v>4350</v>
      </c>
      <c r="B15" s="6">
        <f>COUNTIF(' Clean_data'!D:D,"*Action*")</f>
        <v>52</v>
      </c>
      <c r="C15" s="11">
        <f>AVERAGEIF(' Clean_data'!D:D,"*Action*",' Clean_data'!J:J)</f>
        <v>8.0807692307692314</v>
      </c>
    </row>
    <row r="16" spans="1:3" x14ac:dyDescent="0.2">
      <c r="A16" s="6" t="s">
        <v>4351</v>
      </c>
      <c r="B16" s="6">
        <f>COUNTIF(' Clean_data'!D:D,"*Romance*")</f>
        <v>76</v>
      </c>
      <c r="C16" s="13">
        <f>AVERAGEIF(' Clean_data'!D:D,"*Romance*",' Clean_data'!J:J)</f>
        <v>7.8986842105263149</v>
      </c>
    </row>
    <row r="17" spans="1:3" x14ac:dyDescent="0.2">
      <c r="A17" s="6" t="s">
        <v>4352</v>
      </c>
      <c r="B17" s="6">
        <f>COUNTIF(' Clean_data'!D:D,"*Animation*")</f>
        <v>51</v>
      </c>
      <c r="C17" s="11">
        <f>AVERAGEIF(' Clean_data'!D:D,"*Animation*",' Clean_data'!J:J)</f>
        <v>7.9921568627451007</v>
      </c>
    </row>
    <row r="18" spans="1:3" x14ac:dyDescent="0.2">
      <c r="A18" s="6" t="s">
        <v>4353</v>
      </c>
      <c r="B18" s="6">
        <f>COUNTIF(' Clean_data'!D:D,"*War*")</f>
        <v>30</v>
      </c>
      <c r="C18" s="12">
        <f>AVERAGEIF(' Clean_data'!D:D,"*War*",' Clean_data'!J:J)</f>
        <v>8.14</v>
      </c>
    </row>
    <row r="21" spans="1:3" x14ac:dyDescent="0.2">
      <c r="A21" s="22" t="s">
        <v>4356</v>
      </c>
      <c r="B21" s="23"/>
    </row>
    <row r="22" spans="1:3" x14ac:dyDescent="0.2">
      <c r="A22" s="6" t="s">
        <v>4358</v>
      </c>
      <c r="B22" s="11">
        <f>AVERAGE(' Clean_data'!W:W)</f>
        <v>9</v>
      </c>
    </row>
    <row r="23" spans="1:3" x14ac:dyDescent="0.2">
      <c r="A23" s="6" t="s">
        <v>4359</v>
      </c>
      <c r="B23" s="11">
        <f>MAX(' Clean_data'!W:W)</f>
        <v>92</v>
      </c>
    </row>
    <row r="24" spans="1:3" x14ac:dyDescent="0.2">
      <c r="A24" s="6" t="s">
        <v>4360</v>
      </c>
      <c r="B24" s="11">
        <f>MIN(' Clean_data'!W:W)</f>
        <v>-21</v>
      </c>
    </row>
    <row r="25" spans="1:3" x14ac:dyDescent="0.2">
      <c r="B25" s="2"/>
    </row>
    <row r="27" spans="1:3" x14ac:dyDescent="0.2">
      <c r="A27" s="22" t="s">
        <v>4361</v>
      </c>
      <c r="B27" s="23"/>
    </row>
    <row r="28" spans="1:3" x14ac:dyDescent="0.2">
      <c r="A28" s="6" t="s">
        <v>4362</v>
      </c>
      <c r="B28" s="10" t="str">
        <f>INDEX(' Clean_data'!B:B,MATCH(MAX(' Clean_data'!W:W),' Clean_data'!W:W,0))</f>
        <v>Past Lives</v>
      </c>
    </row>
    <row r="29" spans="1:3" x14ac:dyDescent="0.2">
      <c r="A29" s="6" t="s">
        <v>4363</v>
      </c>
      <c r="B29" s="11">
        <f>MAX(' Clean_data'!W:W)</f>
        <v>92</v>
      </c>
    </row>
    <row r="30" spans="1:3" x14ac:dyDescent="0.2">
      <c r="A30" s="24"/>
      <c r="B30" s="25"/>
    </row>
    <row r="31" spans="1:3" x14ac:dyDescent="0.2">
      <c r="A31" s="22" t="s">
        <v>4364</v>
      </c>
      <c r="B31" s="23"/>
    </row>
    <row r="32" spans="1:3" x14ac:dyDescent="0.2">
      <c r="A32" s="6" t="s">
        <v>4365</v>
      </c>
      <c r="B32" s="10" t="str">
        <f>INDEX(' Clean_data'!B:B,MATCH(MIN(' Clean_data'!W:W),' Clean_data'!W:W,0))</f>
        <v>Fight Club</v>
      </c>
    </row>
    <row r="33" spans="1:3" x14ac:dyDescent="0.2">
      <c r="A33" s="6" t="s">
        <v>4363</v>
      </c>
      <c r="B33" s="11">
        <f>MIN(' Clean_data'!W:W)</f>
        <v>-21</v>
      </c>
    </row>
    <row r="35" spans="1:3" x14ac:dyDescent="0.2">
      <c r="A35" s="20" t="s">
        <v>4367</v>
      </c>
      <c r="B35" s="20"/>
      <c r="C35" s="20"/>
    </row>
    <row r="36" spans="1:3" x14ac:dyDescent="0.2">
      <c r="A36" s="15" t="s">
        <v>4366</v>
      </c>
      <c r="B36" s="15" t="s">
        <v>4368</v>
      </c>
      <c r="C36" s="15" t="s">
        <v>4369</v>
      </c>
    </row>
    <row r="37" spans="1:3" x14ac:dyDescent="0.2">
      <c r="A37" s="10">
        <v>1920</v>
      </c>
      <c r="B37" s="7">
        <f>COUNTIF(' Clean_data'!X:X,Analysis!A37)</f>
        <v>4</v>
      </c>
      <c r="C37" s="7">
        <f>ROUND(AVERAGEIF(' Clean_data'!X:X,Analysis!A37,' Clean_data'!J:J),2)</f>
        <v>8.0500000000000007</v>
      </c>
    </row>
    <row r="38" spans="1:3" x14ac:dyDescent="0.2">
      <c r="A38" s="10">
        <v>1930</v>
      </c>
      <c r="B38" s="7">
        <f>COUNTIF(' Clean_data'!X:X,Analysis!A38)</f>
        <v>12</v>
      </c>
      <c r="C38" s="7">
        <f>ROUND(AVERAGEIF(' Clean_data'!X:X,Analysis!A38,' Clean_data'!J:J),2)</f>
        <v>8.08</v>
      </c>
    </row>
    <row r="39" spans="1:3" x14ac:dyDescent="0.2">
      <c r="A39" s="10">
        <v>1940</v>
      </c>
      <c r="B39" s="7">
        <f>COUNTIF(' Clean_data'!X:X,Analysis!A39)</f>
        <v>18</v>
      </c>
      <c r="C39" s="7">
        <f>ROUND(AVERAGEIF(' Clean_data'!X:X,Analysis!A39,' Clean_data'!J:J),2)</f>
        <v>7.97</v>
      </c>
    </row>
    <row r="40" spans="1:3" x14ac:dyDescent="0.2">
      <c r="A40" s="10">
        <v>1950</v>
      </c>
      <c r="B40" s="7">
        <f>COUNTIF(' Clean_data'!X:X,Analysis!A40)</f>
        <v>25</v>
      </c>
      <c r="C40" s="7">
        <f>ROUND(AVERAGEIF(' Clean_data'!X:X,Analysis!A40,' Clean_data'!J:J),2)</f>
        <v>8.16</v>
      </c>
    </row>
    <row r="41" spans="1:3" x14ac:dyDescent="0.2">
      <c r="A41" s="10">
        <v>1960</v>
      </c>
      <c r="B41" s="7">
        <f>COUNTIF(' Clean_data'!X:X,Analysis!A41)</f>
        <v>29</v>
      </c>
      <c r="C41" s="7">
        <f>ROUND(AVERAGEIF(' Clean_data'!X:X,Analysis!A41,' Clean_data'!J:J),2)</f>
        <v>7.95</v>
      </c>
    </row>
    <row r="42" spans="1:3" x14ac:dyDescent="0.2">
      <c r="A42" s="10">
        <v>1970</v>
      </c>
      <c r="B42" s="7">
        <f>COUNTIF(' Clean_data'!X:X,Analysis!A42)</f>
        <v>40</v>
      </c>
      <c r="C42" s="7">
        <f>ROUND(AVERAGEIF(' Clean_data'!X:X,Analysis!A42,' Clean_data'!J:J),2)</f>
        <v>7.94</v>
      </c>
    </row>
    <row r="43" spans="1:3" x14ac:dyDescent="0.2">
      <c r="A43" s="10">
        <v>1980</v>
      </c>
      <c r="B43" s="7">
        <f>COUNTIF(' Clean_data'!X:X,Analysis!A43)</f>
        <v>27</v>
      </c>
      <c r="C43" s="7">
        <f>ROUND(AVERAGEIF(' Clean_data'!X:X,Analysis!A43,' Clean_data'!J:J),2)</f>
        <v>8.09</v>
      </c>
    </row>
    <row r="44" spans="1:3" x14ac:dyDescent="0.2">
      <c r="A44" s="10">
        <v>1990</v>
      </c>
      <c r="B44" s="7">
        <f>COUNTIF(' Clean_data'!X:X,Analysis!A44)</f>
        <v>42</v>
      </c>
      <c r="C44" s="18">
        <f>ROUND(AVERAGEIF(' Clean_data'!X:X,Analysis!A44,' Clean_data'!J:J),2)</f>
        <v>8.19</v>
      </c>
    </row>
    <row r="45" spans="1:3" x14ac:dyDescent="0.2">
      <c r="A45" s="10">
        <v>2000</v>
      </c>
      <c r="B45" s="7">
        <f>COUNTIF(' Clean_data'!X:X,Analysis!A45)</f>
        <v>85</v>
      </c>
      <c r="C45" s="7">
        <f>ROUND(AVERAGEIF(' Clean_data'!X:X,Analysis!A45,' Clean_data'!J:J),2)</f>
        <v>8.01</v>
      </c>
    </row>
    <row r="46" spans="1:3" x14ac:dyDescent="0.2">
      <c r="A46" s="10">
        <v>2010</v>
      </c>
      <c r="B46" s="7">
        <f>COUNTIF(' Clean_data'!X:X,Analysis!A46)</f>
        <v>115</v>
      </c>
      <c r="C46" s="7">
        <f>ROUND(AVERAGEIF(' Clean_data'!X:X,Analysis!A46,' Clean_data'!J:J),2)</f>
        <v>7.88</v>
      </c>
    </row>
    <row r="47" spans="1:3" x14ac:dyDescent="0.2">
      <c r="A47" s="10">
        <v>2020</v>
      </c>
      <c r="B47" s="7">
        <f>COUNTIF(' Clean_data'!X:X,Analysis!A47)</f>
        <v>52</v>
      </c>
      <c r="C47" s="19">
        <f>ROUND(AVERAGEIF(' Clean_data'!X:X,Analysis!A47,' Clean_data'!J:J),2)</f>
        <v>7.77</v>
      </c>
    </row>
  </sheetData>
  <mergeCells count="11">
    <mergeCell ref="A1:C2"/>
    <mergeCell ref="B3:C3"/>
    <mergeCell ref="B4:C4"/>
    <mergeCell ref="B6:C6"/>
    <mergeCell ref="B5:C5"/>
    <mergeCell ref="A35:C35"/>
    <mergeCell ref="B7:C7"/>
    <mergeCell ref="A21:B21"/>
    <mergeCell ref="A27:B27"/>
    <mergeCell ref="A31:B31"/>
    <mergeCell ref="A30:B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A5CC-C70B-7B49-A8DB-1D9B2B1E35F5}">
  <dimension ref="A2:U29"/>
  <sheetViews>
    <sheetView showGridLines="0" tabSelected="1" workbookViewId="0">
      <selection activeCell="M27" sqref="M27"/>
    </sheetView>
  </sheetViews>
  <sheetFormatPr baseColWidth="10" defaultRowHeight="16" x14ac:dyDescent="0.2"/>
  <cols>
    <col min="1" max="2" width="10.83203125" style="29" customWidth="1"/>
    <col min="3" max="4" width="10.83203125" style="29"/>
    <col min="5" max="5" width="12" style="29" bestFit="1" customWidth="1"/>
    <col min="6" max="14" width="10.83203125" style="29"/>
    <col min="15" max="15" width="10.83203125" style="29" customWidth="1"/>
    <col min="16" max="16384" width="10.83203125" style="29"/>
  </cols>
  <sheetData>
    <row r="2" spans="1:21" ht="27" x14ac:dyDescent="0.35">
      <c r="A2" s="31" t="s">
        <v>4371</v>
      </c>
      <c r="B2" s="31"/>
      <c r="C2" s="31"/>
      <c r="D2" s="31"/>
      <c r="E2" s="31"/>
      <c r="F2" s="31"/>
      <c r="G2" s="31"/>
      <c r="H2" s="31"/>
      <c r="I2" s="31"/>
      <c r="J2" s="31"/>
      <c r="K2" s="31"/>
      <c r="L2" s="31"/>
      <c r="M2" s="31"/>
      <c r="N2" s="31"/>
      <c r="O2" s="31"/>
      <c r="P2" s="31"/>
      <c r="Q2" s="31"/>
      <c r="R2" s="31"/>
      <c r="S2" s="31"/>
      <c r="T2" s="31"/>
    </row>
    <row r="4" spans="1:21" ht="31" x14ac:dyDescent="0.35">
      <c r="A4" s="33">
        <v>450</v>
      </c>
      <c r="B4" s="33"/>
      <c r="C4" s="33"/>
      <c r="D4" s="33"/>
      <c r="E4" s="33"/>
      <c r="I4" s="34">
        <v>7.97</v>
      </c>
      <c r="J4" s="34"/>
      <c r="K4" s="34"/>
      <c r="P4" s="33" t="s">
        <v>4372</v>
      </c>
      <c r="Q4" s="33"/>
      <c r="R4" s="33"/>
      <c r="S4" s="33"/>
      <c r="T4" s="33"/>
    </row>
    <row r="5" spans="1:21" ht="21" x14ac:dyDescent="0.25">
      <c r="A5" s="32" t="s">
        <v>4368</v>
      </c>
      <c r="B5" s="32"/>
      <c r="C5" s="32"/>
      <c r="D5" s="32"/>
      <c r="E5" s="32"/>
      <c r="H5" s="32" t="s">
        <v>4369</v>
      </c>
      <c r="I5" s="32"/>
      <c r="J5" s="32"/>
      <c r="K5" s="32"/>
      <c r="L5" s="32"/>
      <c r="O5" s="32" t="s">
        <v>4370</v>
      </c>
      <c r="P5" s="32"/>
      <c r="Q5" s="32"/>
      <c r="R5" s="32"/>
      <c r="S5" s="32"/>
      <c r="T5" s="32"/>
      <c r="U5" s="32"/>
    </row>
    <row r="25" spans="5:10" ht="24" x14ac:dyDescent="0.3">
      <c r="E25" s="36" t="s">
        <v>4373</v>
      </c>
    </row>
    <row r="26" spans="5:10" ht="24" x14ac:dyDescent="0.3">
      <c r="E26" s="30" t="s">
        <v>4374</v>
      </c>
    </row>
    <row r="27" spans="5:10" ht="24" x14ac:dyDescent="0.3">
      <c r="E27" s="35" t="s">
        <v>4377</v>
      </c>
      <c r="F27" s="35"/>
      <c r="G27" s="35"/>
      <c r="H27" s="35"/>
      <c r="I27" s="35"/>
      <c r="J27" s="35"/>
    </row>
    <row r="28" spans="5:10" ht="24" x14ac:dyDescent="0.3">
      <c r="E28" s="30" t="s">
        <v>4375</v>
      </c>
    </row>
    <row r="29" spans="5:10" ht="24" x14ac:dyDescent="0.3">
      <c r="E29" s="30" t="s">
        <v>4376</v>
      </c>
    </row>
  </sheetData>
  <mergeCells count="8">
    <mergeCell ref="P4:T4"/>
    <mergeCell ref="O5:U5"/>
    <mergeCell ref="E27:J27"/>
    <mergeCell ref="A5:E5"/>
    <mergeCell ref="A4:E4"/>
    <mergeCell ref="I4:K4"/>
    <mergeCell ref="H5:L5"/>
    <mergeCell ref="A2:T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986A88-F17A-054A-A437-C1356C90BE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Pivot_analysis</vt:lpstr>
      <vt:lpstr> Clean_data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Дмитро Стецюк</dc:creator>
  <cp:lastModifiedBy>Дмитро Стецюк</cp:lastModifiedBy>
  <dcterms:created xsi:type="dcterms:W3CDTF">2026-06-08T15:27:52Z</dcterms:created>
  <dcterms:modified xsi:type="dcterms:W3CDTF">2026-06-11T14:24:12Z</dcterms:modified>
</cp:coreProperties>
</file>